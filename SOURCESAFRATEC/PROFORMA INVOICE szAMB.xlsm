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SAFRATEC\"/>
    </mc:Choice>
  </mc:AlternateContent>
  <xr:revisionPtr revIDLastSave="0" documentId="13_ncr:1_{00C3A936-0D8D-46B6-ACC0-FD0557A02EAB}" xr6:coauthVersionLast="47" xr6:coauthVersionMax="47" xr10:uidLastSave="{00000000-0000-0000-0000-000000000000}"/>
  <bookViews>
    <workbookView xWindow="-120" yWindow="-120" windowWidth="29040" windowHeight="15720" activeTab="2" xr2:uid="{028CD3CD-4DB3-4EDB-973A-E3D060B808FB}"/>
  </bookViews>
  <sheets>
    <sheet name="Quoting Request" sheetId="1" r:id="rId1"/>
    <sheet name="Quoting Request Ts" sheetId="3" r:id="rId2"/>
    <sheet name="Quoting Request Tube" sheetId="2" r:id="rId3"/>
    <sheet name="Quoting Request 2 Tube" sheetId="4" r:id="rId4"/>
  </sheets>
  <definedNames>
    <definedName name="_xlnm.Print_Area" localSheetId="0">'Quoting Request'!$B$1:$I$37</definedName>
    <definedName name="_xlnm.Print_Area" localSheetId="3">'Quoting Request 2 Tube'!$B$1:$I$38</definedName>
    <definedName name="_xlnm.Print_Area" localSheetId="1">'Quoting Request Ts'!$B$1:$I$37</definedName>
    <definedName name="_xlnm.Print_Area" localSheetId="2">'Quoting Request Tube'!$B$1:$I$42</definedName>
    <definedName name="_xlnm.Print_Titles" localSheetId="0">'Quoting Request'!$1:$14</definedName>
    <definedName name="_xlnm.Print_Titles" localSheetId="3">'Quoting Request 2 Tube'!$1:$14</definedName>
    <definedName name="_xlnm.Print_Titles" localSheetId="1">'Quoting Request Ts'!$1:$14</definedName>
    <definedName name="_xlnm.Print_Titles" localSheetId="2">'Quoting Request Tube'!$1:$14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I20" i="2"/>
  <c r="I21" i="2"/>
  <c r="I22" i="2"/>
  <c r="I23" i="2"/>
  <c r="I24" i="2"/>
  <c r="I25" i="2"/>
  <c r="I26" i="2"/>
  <c r="I29" i="2"/>
  <c r="D6" i="2"/>
  <c r="G38" i="4"/>
  <c r="C38" i="4"/>
  <c r="I25" i="4"/>
  <c r="G37" i="3"/>
  <c r="C37" i="3"/>
  <c r="I24" i="3"/>
  <c r="G42" i="2"/>
  <c r="C42" i="2"/>
  <c r="G37" i="1"/>
  <c r="C37" i="1"/>
  <c r="I24" i="1"/>
</calcChain>
</file>

<file path=xl/sharedStrings.xml><?xml version="1.0" encoding="utf-8"?>
<sst xmlns="http://schemas.openxmlformats.org/spreadsheetml/2006/main" count="232" uniqueCount="72">
  <si>
    <t>PROFORMA INVOICE</t>
    <phoneticPr fontId="0" type="noConversion"/>
  </si>
  <si>
    <t>PROFORMA INVproOICE</t>
  </si>
  <si>
    <t xml:space="preserve">Shipper:  </t>
    <phoneticPr fontId="0" type="noConversion"/>
  </si>
  <si>
    <t>SHENZHEN AMB TECHNOLOGY CO.,LTD.</t>
    <phoneticPr fontId="0" type="noConversion"/>
  </si>
  <si>
    <t xml:space="preserve">Contact Person: </t>
    <phoneticPr fontId="0" type="noConversion"/>
  </si>
  <si>
    <t>Kevin Zheng</t>
    <phoneticPr fontId="0" type="noConversion"/>
  </si>
  <si>
    <t>Date:</t>
  </si>
  <si>
    <t xml:space="preserve">          518116 P.R.C.</t>
  </si>
  <si>
    <t xml:space="preserve">P.O.#: </t>
  </si>
  <si>
    <r>
      <t>Email:</t>
    </r>
    <r>
      <rPr>
        <sz val="11"/>
        <color theme="1"/>
        <rFont val="Calibri"/>
        <family val="2"/>
      </rPr>
      <t xml:space="preserve"> sales@szamb.com                                  </t>
    </r>
  </si>
  <si>
    <t>Invoice:</t>
  </si>
  <si>
    <t>S0320230208</t>
    <phoneticPr fontId="0" type="noConversion"/>
  </si>
  <si>
    <r>
      <t xml:space="preserve">Tel: </t>
    </r>
    <r>
      <rPr>
        <sz val="11"/>
        <color theme="1"/>
        <rFont val="Calibri"/>
        <family val="2"/>
      </rPr>
      <t>+86 755 89341521</t>
    </r>
  </si>
  <si>
    <r>
      <t>Fax:</t>
    </r>
    <r>
      <rPr>
        <sz val="11"/>
        <color theme="1"/>
        <rFont val="Calibri"/>
        <family val="2"/>
      </rPr>
      <t xml:space="preserve"> +86 755 89301109</t>
    </r>
  </si>
  <si>
    <t>Delivery Terms:</t>
  </si>
  <si>
    <t>CIF to San Antonio Seaport</t>
  </si>
  <si>
    <t>Delivery Date:</t>
    <phoneticPr fontId="0" type="noConversion"/>
  </si>
  <si>
    <t xml:space="preserve">Receiver: </t>
    <phoneticPr fontId="0" type="noConversion"/>
  </si>
  <si>
    <t>Comercial TSA ltda</t>
    <phoneticPr fontId="0" type="noConversion"/>
  </si>
  <si>
    <t>Price Terms:</t>
  </si>
  <si>
    <t>30% in advance, 70% when good arrive to Chilean SeaPort</t>
  </si>
  <si>
    <t>Contact Person: Nicolas Oelckers</t>
    <phoneticPr fontId="0" type="noConversion"/>
  </si>
  <si>
    <t xml:space="preserve">Payment Terms: </t>
  </si>
  <si>
    <t xml:space="preserve">Add:  </t>
    <phoneticPr fontId="0" type="noConversion"/>
  </si>
  <si>
    <t>Email: nicolas@safratec.com</t>
    <phoneticPr fontId="0" type="noConversion"/>
  </si>
  <si>
    <t>ID</t>
  </si>
  <si>
    <t xml:space="preserve">Item  Code  </t>
  </si>
  <si>
    <t xml:space="preserve">Description </t>
  </si>
  <si>
    <t>Product Picture</t>
    <phoneticPr fontId="0" type="noConversion"/>
  </si>
  <si>
    <t xml:space="preserve">Unit </t>
  </si>
  <si>
    <t>Q'ty</t>
    <phoneticPr fontId="0" type="noConversion"/>
  </si>
  <si>
    <t>Unit Price (USD)</t>
  </si>
  <si>
    <t>Amount (USD)</t>
  </si>
  <si>
    <t xml:space="preserve"> </t>
  </si>
  <si>
    <t>Total:</t>
  </si>
  <si>
    <t>CIF</t>
    <phoneticPr fontId="0" type="noConversion"/>
  </si>
  <si>
    <t>Tips:</t>
    <phoneticPr fontId="0" type="noConversion"/>
  </si>
  <si>
    <t>Customer is responsible for all banking charges incurred from local bank and should not deduct from the order amount.</t>
    <phoneticPr fontId="0" type="noConversion"/>
  </si>
  <si>
    <t>Bank Information:</t>
    <phoneticPr fontId="0" type="noConversion"/>
  </si>
  <si>
    <r>
      <t>Beneficiary Company:</t>
    </r>
    <r>
      <rPr>
        <sz val="12"/>
        <color theme="4" tint="-0.499984740745262"/>
        <rFont val="Calibri"/>
        <family val="2"/>
      </rPr>
      <t> Shenzhen AMB Technology Co.,Ltd</t>
    </r>
  </si>
  <si>
    <r>
      <t xml:space="preserve">Bank name:                   </t>
    </r>
    <r>
      <rPr>
        <sz val="12"/>
        <color theme="4" tint="-0.499984740745262"/>
        <rFont val="Calibri"/>
        <family val="2"/>
      </rPr>
      <t>BANK OF NINGBO, SHENZHEN BRANCH</t>
    </r>
  </si>
  <si>
    <r>
      <t>Account Number:</t>
    </r>
    <r>
      <rPr>
        <sz val="12"/>
        <color theme="4" tint="-0.499984740745262"/>
        <rFont val="Calibri"/>
        <family val="2"/>
      </rPr>
      <t>         7305 2025 0000 25371</t>
    </r>
  </si>
  <si>
    <r>
      <t>SWIFT Number:</t>
    </r>
    <r>
      <rPr>
        <sz val="12"/>
        <color theme="4" tint="-0.499984740745262"/>
        <rFont val="Calibri"/>
        <family val="2"/>
      </rPr>
      <t>             BKNBCN2NSHE</t>
    </r>
  </si>
  <si>
    <r>
      <t>Bank Address: </t>
    </r>
    <r>
      <rPr>
        <sz val="12"/>
        <color theme="4" tint="-0.499984740745262"/>
        <rFont val="Calibri"/>
        <family val="2"/>
      </rPr>
      <t>              4/F, HUANGTING PRODIUM BUILDING, JINTIAN ROAD, FUTIAN DISTRICT, SHENZHEN</t>
    </r>
  </si>
  <si>
    <t xml:space="preserve">Authorised Signature(s) </t>
    <phoneticPr fontId="0" type="noConversion"/>
  </si>
  <si>
    <t xml:space="preserve">           Authorised Signature(s) </t>
    <phoneticPr fontId="0" type="noConversion"/>
  </si>
  <si>
    <r>
      <t>Add:</t>
    </r>
    <r>
      <rPr>
        <sz val="11"/>
        <color theme="1"/>
        <rFont val="Calibri"/>
        <family val="2"/>
      </rPr>
      <t xml:space="preserve"> Bldg 3,Huaqiang Industrial Park,Qingfeng Road,Baolong Community,Longgang,Shenzhen</t>
    </r>
  </si>
  <si>
    <t>Tel:</t>
  </si>
  <si>
    <t xml:space="preserve"> +56 9 9218 3615</t>
  </si>
  <si>
    <t>Referencia:</t>
  </si>
  <si>
    <t>PCS</t>
  </si>
  <si>
    <t>LED TUBE T8 WP6K-28WTD-F,V-Shape(150 ) Full Spectrum Broilers Version (Triac Dimmable) 1200mm long tube, 110lm/w. Total Lumen 3080, CRI &gt;80, 150° V-SHAPE.498nm&amp;625nm. AC220V,V-Shape patent design 270° aluminium radiator structures, Low heat, les than 50° C. No UV or IR light radiation, no mercury or other in-organics. Dimming technology from 0,2%-100%, invisible Flickering free, Humidity proof, Dust proof, Shatter proof and Waterproof with IP67. Anti ammonia &amp; acid for poultry industrial lighting. 1200 mm length, 28 Watt power consumption, Triac Dimmable, VD: 0-10 V dimmable. 150° V-shape version.V-Shape(150 ) Full Spectrum Broilers Version (Triac Dimmable). 4x0.75mm2 EU Double-Ended Power Cable 365mm  with Male and Female 2pins connector</t>
  </si>
  <si>
    <t>WP4K-20WTD-F</t>
  </si>
  <si>
    <t>PT+FC-2 pins (2 x 16AW (US) sjow) 4 meters long</t>
  </si>
  <si>
    <t>Pig tail with one end 2 pins Female connector 2 x 16AW (US) sjow (2 pins with one male connector) Power Cable and 2 cables pig tail at the other end 4 meters long</t>
  </si>
  <si>
    <t>PPC- 2 pins (1.5mm2) 3.8 meters Long</t>
  </si>
  <si>
    <t>Plug and Play cable with male and female connector,  2 x 16AW (US) sjow (2 pins with one male connector) Power Cable and 2 cables pig tail at the other end  3.8 meters long</t>
  </si>
  <si>
    <t>PT+MC- 2 pins (2 x 16AW (US) sjow) 4 meters Long</t>
  </si>
  <si>
    <t>Pig tail with one end 2 pins male connector 2 x 16AW (US) sjow (2 pins with one male connector) Power Cable and 2 cables pig tail at the other end 4 meters Long</t>
  </si>
  <si>
    <t>Rubber T connector (Bracket 2 pin connector), male and female horizontal connectors, and one female connector on the bottom. 10 cm long each. 2 pins (2 x 16AW (US) sjow) FEMALE &amp; MALE?CONNECTORS)</t>
  </si>
  <si>
    <t>AMB-IDS-4000W-2C</t>
  </si>
  <si>
    <t>4000W Triac Dimmer (trailing edge) Unit (2 channels) 220-240 VACMaster  Slave functionDimming Timing IntegrationIP66 Waterproof</t>
  </si>
  <si>
    <t>Shipping fee</t>
  </si>
  <si>
    <t>UN</t>
  </si>
  <si>
    <t>PROYECTO ARIZTIA 2024</t>
  </si>
  <si>
    <t>N#  20240126ng</t>
  </si>
  <si>
    <t>Email: nicolas@tsachile.com</t>
  </si>
  <si>
    <t>pcs</t>
  </si>
  <si>
    <t>Plug and Play cable with male and female connector,  2 x 16AW (US) sjow (2 pins with one male connector) Power Cable and 2 cables pig tail at the other end  0.88 meters long</t>
  </si>
  <si>
    <t>PPC- 2 pins (1.5mm2) 3.261 meters long</t>
  </si>
  <si>
    <t>Plug and Play cable with male and female connector,  2 x 16AW (US) sjow (2 pins with one male connector) Power Cable and 2 cables pig tail at the other end 3.261 meters long</t>
  </si>
  <si>
    <t>PPC- 2 pins (1.5mm2) 0.57 meters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</si>
</sst>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 &quot;$&quot;* #,##0_ ;_ &quot;$&quot;* \-#,##0_ ;_ &quot;$&quot;* &quot;-&quot;_ ;_ @_ "/>
    <numFmt numFmtId="164" formatCode="[$-409]d/mmm/yy;@"/>
    <numFmt numFmtId="165" formatCode="\¥#,##0.00_);[Red]\(\¥#,##0.00\)"/>
    <numFmt numFmtId="166" formatCode="_ &quot;$&quot;* #,##0.00_ ;_ &quot;$&quot;* \-#,##0.00_ ;_ &quot;$&quot;* &quot;-&quot;_ ;_ @_ "/>
    <numFmt numFmtId="167" formatCode="&quot;US$&quot;#,##0.00_);[Red]\(&quot;US$&quot;#,##0.00\)"/>
    <numFmt numFmtId="168" formatCode="&quot;US$&quot;#,##0;\-&quot;US$&quot;#,##0"/>
  </numFmts>
  <fonts count="3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8"/>
      <color theme="4" tint="-0.249977111117893"/>
      <name val="Calibri"/>
      <family val="2"/>
    </font>
    <font>
      <b/>
      <sz val="36"/>
      <color theme="0"/>
      <name val="Calibri"/>
      <family val="2"/>
    </font>
    <font>
      <sz val="11"/>
      <color theme="1"/>
      <name val="Calibri"/>
      <family val="2"/>
    </font>
    <font>
      <sz val="28"/>
      <color theme="0"/>
      <name val="Calibri"/>
      <family val="2"/>
    </font>
    <font>
      <b/>
      <sz val="14"/>
      <color theme="1"/>
      <name val="Calibri"/>
      <family val="2"/>
    </font>
    <font>
      <b/>
      <sz val="13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2"/>
      <name val="宋体"/>
      <family val="3"/>
      <charset val="134"/>
    </font>
    <font>
      <sz val="10"/>
      <name val="Calibri"/>
      <family val="2"/>
    </font>
    <font>
      <b/>
      <sz val="10"/>
      <name val="Calibri"/>
      <family val="2"/>
    </font>
    <font>
      <sz val="10"/>
      <color rgb="FF1F497D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rgb="FF1F497D"/>
      <name val="Calibri"/>
      <family val="2"/>
    </font>
    <font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</font>
    <font>
      <b/>
      <sz val="12"/>
      <color indexed="8"/>
      <name val="Calibri"/>
      <family val="2"/>
    </font>
    <font>
      <sz val="12"/>
      <color rgb="FF1F497D"/>
      <name val="Calibri"/>
      <family val="2"/>
    </font>
    <font>
      <sz val="12"/>
      <name val="Calibri"/>
      <family val="2"/>
    </font>
    <font>
      <b/>
      <sz val="13"/>
      <name val="Calibri"/>
      <family val="2"/>
    </font>
    <font>
      <sz val="13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4" tint="-0.499984740745262"/>
      <name val="Calibri"/>
      <family val="2"/>
    </font>
    <font>
      <sz val="12"/>
      <color theme="4" tint="-0.499984740745262"/>
      <name val="Calibri"/>
      <family val="2"/>
    </font>
    <font>
      <b/>
      <sz val="11"/>
      <color indexed="12"/>
      <name val="Calibri"/>
      <family val="2"/>
    </font>
    <font>
      <b/>
      <i/>
      <sz val="18"/>
      <color theme="1"/>
      <name val="Perpetua"/>
      <family val="1"/>
    </font>
    <font>
      <sz val="10"/>
      <name val="Segoe Print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>
      <alignment vertical="center"/>
    </xf>
    <xf numFmtId="42" fontId="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>
      <alignment vertical="center"/>
    </xf>
    <xf numFmtId="0" fontId="1" fillId="0" borderId="0">
      <alignment vertical="center"/>
    </xf>
  </cellStyleXfs>
  <cellXfs count="83">
    <xf numFmtId="0" fontId="0" fillId="0" borderId="0" xfId="0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64" fontId="11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3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horizontal="left" vertical="center"/>
    </xf>
    <xf numFmtId="14" fontId="13" fillId="0" borderId="0" xfId="2" applyNumberFormat="1" applyFont="1" applyAlignment="1">
      <alignment horizontal="left" vertical="center"/>
    </xf>
    <xf numFmtId="0" fontId="13" fillId="0" borderId="0" xfId="2" applyFont="1" applyAlignment="1">
      <alignment vertical="center" wrapText="1"/>
    </xf>
    <xf numFmtId="0" fontId="14" fillId="2" borderId="0" xfId="2" applyFont="1" applyFill="1" applyAlignment="1">
      <alignment horizontal="center" vertical="center"/>
    </xf>
    <xf numFmtId="165" fontId="14" fillId="2" borderId="0" xfId="2" applyNumberFormat="1" applyFont="1" applyFill="1" applyAlignment="1">
      <alignment horizontal="center" vertical="center" wrapText="1"/>
    </xf>
    <xf numFmtId="0" fontId="15" fillId="0" borderId="0" xfId="2" applyFont="1" applyAlignment="1">
      <alignment vertical="center"/>
    </xf>
    <xf numFmtId="0" fontId="16" fillId="0" borderId="0" xfId="2" applyFont="1" applyAlignment="1">
      <alignment horizontal="center" vertical="center"/>
    </xf>
    <xf numFmtId="0" fontId="9" fillId="0" borderId="0" xfId="3" applyFont="1" applyAlignment="1">
      <alignment horizontal="center" vertical="center" wrapText="1"/>
    </xf>
    <xf numFmtId="0" fontId="11" fillId="0" borderId="0" xfId="3" applyFont="1" applyAlignment="1">
      <alignment horizontal="left" vertical="center" wrapText="1"/>
    </xf>
    <xf numFmtId="0" fontId="16" fillId="0" borderId="0" xfId="2" applyFont="1" applyAlignment="1">
      <alignment horizontal="center" vertical="center" wrapText="1"/>
    </xf>
    <xf numFmtId="166" fontId="16" fillId="0" borderId="0" xfId="1" applyNumberFormat="1" applyFont="1" applyAlignment="1">
      <alignment horizontal="center" vertical="center" wrapText="1"/>
    </xf>
    <xf numFmtId="0" fontId="18" fillId="0" borderId="0" xfId="2" applyFont="1" applyAlignment="1">
      <alignment vertical="center"/>
    </xf>
    <xf numFmtId="0" fontId="16" fillId="0" borderId="0" xfId="2" applyFont="1" applyAlignment="1">
      <alignment vertical="center"/>
    </xf>
    <xf numFmtId="0" fontId="16" fillId="0" borderId="0" xfId="2" applyFont="1" applyAlignment="1">
      <alignment vertical="center" wrapText="1"/>
    </xf>
    <xf numFmtId="0" fontId="20" fillId="0" borderId="0" xfId="2" applyFont="1" applyAlignment="1">
      <alignment horizontal="center" vertical="center" wrapText="1"/>
    </xf>
    <xf numFmtId="0" fontId="16" fillId="3" borderId="0" xfId="2" applyFont="1" applyFill="1" applyAlignment="1">
      <alignment vertical="center"/>
    </xf>
    <xf numFmtId="0" fontId="21" fillId="2" borderId="0" xfId="2" applyFont="1" applyFill="1" applyAlignment="1">
      <alignment vertical="center" wrapText="1"/>
    </xf>
    <xf numFmtId="0" fontId="23" fillId="0" borderId="0" xfId="2" applyFont="1" applyAlignment="1">
      <alignment vertical="center"/>
    </xf>
    <xf numFmtId="0" fontId="24" fillId="0" borderId="0" xfId="2" applyFont="1" applyAlignment="1">
      <alignment vertical="center"/>
    </xf>
    <xf numFmtId="0" fontId="24" fillId="3" borderId="0" xfId="2" applyFont="1" applyFill="1" applyAlignment="1">
      <alignment vertical="center"/>
    </xf>
    <xf numFmtId="0" fontId="21" fillId="4" borderId="0" xfId="2" applyFont="1" applyFill="1" applyAlignment="1">
      <alignment vertical="center" wrapText="1"/>
    </xf>
    <xf numFmtId="0" fontId="25" fillId="0" borderId="0" xfId="2" applyFont="1" applyAlignment="1">
      <alignment vertical="center"/>
    </xf>
    <xf numFmtId="0" fontId="26" fillId="0" borderId="0" xfId="0" applyFont="1">
      <alignment vertical="center"/>
    </xf>
    <xf numFmtId="168" fontId="8" fillId="0" borderId="0" xfId="0" applyNumberFormat="1" applyFont="1" applyAlignment="1">
      <alignment horizontal="center" vertical="center"/>
    </xf>
    <xf numFmtId="0" fontId="26" fillId="3" borderId="0" xfId="0" applyFont="1" applyFill="1">
      <alignment vertical="center"/>
    </xf>
    <xf numFmtId="0" fontId="27" fillId="0" borderId="0" xfId="0" applyFont="1">
      <alignment vertical="center"/>
    </xf>
    <xf numFmtId="0" fontId="21" fillId="0" borderId="0" xfId="2" applyFont="1" applyAlignment="1">
      <alignment vertical="center"/>
    </xf>
    <xf numFmtId="168" fontId="27" fillId="0" borderId="0" xfId="0" applyNumberFormat="1" applyFont="1" applyAlignment="1">
      <alignment horizontal="center" vertical="center"/>
    </xf>
    <xf numFmtId="0" fontId="28" fillId="0" borderId="0" xfId="0" applyFont="1">
      <alignment vertical="center"/>
    </xf>
    <xf numFmtId="0" fontId="28" fillId="0" borderId="0" xfId="2" applyFont="1" applyAlignment="1">
      <alignment vertical="center"/>
    </xf>
    <xf numFmtId="168" fontId="28" fillId="0" borderId="0" xfId="0" applyNumberFormat="1" applyFont="1" applyAlignment="1">
      <alignment horizontal="center" vertical="center"/>
    </xf>
    <xf numFmtId="0" fontId="29" fillId="0" borderId="0" xfId="0" applyFont="1">
      <alignment vertical="center"/>
    </xf>
    <xf numFmtId="0" fontId="30" fillId="0" borderId="0" xfId="2" applyFont="1" applyAlignment="1">
      <alignment vertical="center"/>
    </xf>
    <xf numFmtId="0" fontId="14" fillId="0" borderId="0" xfId="2" applyFont="1" applyAlignment="1">
      <alignment horizontal="center" vertical="center"/>
    </xf>
    <xf numFmtId="0" fontId="32" fillId="0" borderId="0" xfId="2" applyFont="1" applyAlignment="1">
      <alignment vertical="center"/>
    </xf>
    <xf numFmtId="0" fontId="22" fillId="2" borderId="0" xfId="2" applyFont="1" applyFill="1" applyAlignment="1">
      <alignment horizontal="center" vertical="center"/>
    </xf>
    <xf numFmtId="0" fontId="21" fillId="2" borderId="0" xfId="4" applyFont="1" applyFill="1" applyAlignment="1">
      <alignment horizontal="center" vertical="center"/>
    </xf>
    <xf numFmtId="167" fontId="22" fillId="2" borderId="0" xfId="2" applyNumberFormat="1" applyFont="1" applyFill="1" applyAlignment="1">
      <alignment horizontal="center" vertical="center"/>
    </xf>
    <xf numFmtId="167" fontId="22" fillId="4" borderId="0" xfId="2" applyNumberFormat="1" applyFont="1" applyFill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5" fillId="0" borderId="0" xfId="0" quotePrefix="1" applyFont="1">
      <alignment vertical="center"/>
    </xf>
    <xf numFmtId="0" fontId="14" fillId="2" borderId="0" xfId="2" applyFont="1" applyFill="1" applyAlignment="1">
      <alignment horizontal="center" vertical="center" wrapText="1"/>
    </xf>
    <xf numFmtId="0" fontId="17" fillId="0" borderId="0" xfId="2" applyFont="1" applyAlignment="1">
      <alignment horizontal="left" vertical="center" wrapText="1"/>
    </xf>
    <xf numFmtId="0" fontId="19" fillId="0" borderId="0" xfId="2" applyFont="1" applyAlignment="1">
      <alignment horizontal="center" vertical="center" wrapText="1"/>
    </xf>
    <xf numFmtId="0" fontId="10" fillId="0" borderId="0" xfId="0" applyFont="1">
      <alignment vertical="center"/>
    </xf>
    <xf numFmtId="0" fontId="31" fillId="0" borderId="0" xfId="2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left" wrapText="1"/>
    </xf>
    <xf numFmtId="0" fontId="22" fillId="4" borderId="0" xfId="2" applyFont="1" applyFill="1" applyAlignment="1">
      <alignment horizontal="right" vertical="center"/>
    </xf>
    <xf numFmtId="166" fontId="16" fillId="0" borderId="0" xfId="1" applyNumberFormat="1" applyFont="1" applyAlignment="1">
      <alignment horizontal="center" vertical="center" wrapText="1"/>
    </xf>
    <xf numFmtId="0" fontId="9" fillId="0" borderId="0" xfId="3" applyFont="1" applyAlignment="1">
      <alignment horizontal="center" vertical="center" wrapText="1"/>
    </xf>
    <xf numFmtId="0" fontId="16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4" fillId="0" borderId="0" xfId="0" applyFont="1">
      <alignment vertical="center"/>
    </xf>
    <xf numFmtId="0" fontId="13" fillId="0" borderId="0" xfId="2" applyFont="1" applyAlignment="1">
      <alignment horizontal="center" vertical="center" wrapText="1"/>
    </xf>
    <xf numFmtId="0" fontId="19" fillId="0" borderId="0" xfId="2" applyFont="1" applyAlignment="1">
      <alignment horizontal="left" vertical="center" wrapText="1"/>
    </xf>
    <xf numFmtId="0" fontId="13" fillId="0" borderId="0" xfId="2" applyFont="1" applyAlignment="1">
      <alignment horizontal="center" vertical="center" wrapText="1"/>
    </xf>
    <xf numFmtId="0" fontId="35" fillId="0" borderId="0" xfId="2" applyFont="1" applyAlignment="1">
      <alignment horizontal="center" vertical="center" wrapText="1"/>
    </xf>
    <xf numFmtId="0" fontId="13" fillId="0" borderId="0" xfId="2" applyFont="1" applyAlignment="1">
      <alignment horizontal="center" vertical="center"/>
    </xf>
    <xf numFmtId="0" fontId="11" fillId="0" borderId="0" xfId="3" applyFont="1" applyAlignment="1">
      <alignment horizontal="left" vertical="center" wrapText="1"/>
    </xf>
    <xf numFmtId="166" fontId="16" fillId="0" borderId="0" xfId="1" applyNumberFormat="1" applyFont="1" applyAlignment="1">
      <alignment vertical="center" wrapText="1"/>
    </xf>
    <xf numFmtId="0" fontId="11" fillId="0" borderId="0" xfId="5" applyFont="1" applyAlignment="1">
      <alignment horizontal="left" vertical="center"/>
    </xf>
    <xf numFmtId="4" fontId="5" fillId="0" borderId="0" xfId="0" applyNumberFormat="1" applyFont="1">
      <alignment vertical="center"/>
    </xf>
    <xf numFmtId="4" fontId="13" fillId="0" borderId="0" xfId="2" applyNumberFormat="1" applyFont="1" applyAlignment="1">
      <alignment vertical="center"/>
    </xf>
    <xf numFmtId="4" fontId="15" fillId="0" borderId="0" xfId="2" applyNumberFormat="1" applyFont="1" applyAlignment="1">
      <alignment vertical="center"/>
    </xf>
    <xf numFmtId="4" fontId="18" fillId="0" borderId="0" xfId="2" applyNumberFormat="1" applyFont="1" applyAlignment="1">
      <alignment horizontal="center" vertical="center"/>
    </xf>
    <xf numFmtId="4" fontId="18" fillId="0" borderId="0" xfId="2" applyNumberFormat="1" applyFont="1" applyAlignment="1">
      <alignment vertical="center"/>
    </xf>
    <xf numFmtId="4" fontId="23" fillId="0" borderId="0" xfId="2" applyNumberFormat="1" applyFont="1" applyAlignment="1">
      <alignment vertical="center"/>
    </xf>
    <xf numFmtId="4" fontId="26" fillId="0" borderId="0" xfId="0" applyNumberFormat="1" applyFont="1">
      <alignment vertical="center"/>
    </xf>
    <xf numFmtId="4" fontId="27" fillId="0" borderId="0" xfId="0" applyNumberFormat="1" applyFont="1">
      <alignment vertical="center"/>
    </xf>
    <xf numFmtId="4" fontId="28" fillId="0" borderId="0" xfId="0" applyNumberFormat="1" applyFont="1">
      <alignment vertical="center"/>
    </xf>
  </cellXfs>
  <cellStyles count="6">
    <cellStyle name="Moneda [0]" xfId="1" builtinId="7"/>
    <cellStyle name="Normal" xfId="0" builtinId="0"/>
    <cellStyle name="Normal 2" xfId="5" xr:uid="{AD7EFFFE-A478-48B6-9EA4-19C803826E1B}"/>
    <cellStyle name="常规 2" xfId="2" xr:uid="{18114941-132F-41C2-87BE-4BC83B07C3B0}"/>
    <cellStyle name="常规 4" xfId="3" xr:uid="{69C05D90-6046-4CE2-BACF-7B0FDFCE275C}"/>
    <cellStyle name="常规_SL-PI-MK002-1101004-Donald(Australia)-工厂" xfId="4" xr:uid="{5EC1B928-BED6-47E1-81AB-69C42A96EC5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7.png"/><Relationship Id="rId5" Type="http://schemas.openxmlformats.org/officeDocument/2006/relationships/image" Target="../media/image6.jpe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6.jpe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9.png"/><Relationship Id="rId5" Type="http://schemas.openxmlformats.org/officeDocument/2006/relationships/image" Target="../media/image6.jpe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36</xdr:row>
      <xdr:rowOff>9525</xdr:rowOff>
    </xdr:from>
    <xdr:to>
      <xdr:col>3</xdr:col>
      <xdr:colOff>742949</xdr:colOff>
      <xdr:row>36</xdr:row>
      <xdr:rowOff>9525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>
        <a:xfrm>
          <a:off x="76199" y="12963525"/>
          <a:ext cx="1724025" cy="0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zh-CN" altLang="en-US"/>
        </a:p>
      </xdr:txBody>
    </xdr:sp>
    <xdr:clientData/>
  </xdr:twoCellAnchor>
  <xdr:twoCellAnchor>
    <xdr:from>
      <xdr:col>6</xdr:col>
      <xdr:colOff>28575</xdr:colOff>
      <xdr:row>36</xdr:row>
      <xdr:rowOff>0</xdr:rowOff>
    </xdr:from>
    <xdr:to>
      <xdr:col>8</xdr:col>
      <xdr:colOff>1199515</xdr:colOff>
      <xdr:row>36</xdr:row>
      <xdr:rowOff>9525</xdr:rowOff>
    </xdr:to>
    <xdr:sp macro="" textlink="">
      <xdr:nvSpPr>
        <xdr:cNvPr id="4" name="Lin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>
        <a:xfrm flipV="1">
          <a:off x="5314950" y="12954000"/>
          <a:ext cx="2723515" cy="9525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147411</xdr:colOff>
      <xdr:row>0</xdr:row>
      <xdr:rowOff>11430</xdr:rowOff>
    </xdr:from>
    <xdr:to>
      <xdr:col>9</xdr:col>
      <xdr:colOff>2449</xdr:colOff>
      <xdr:row>2</xdr:row>
      <xdr:rowOff>30253</xdr:rowOff>
    </xdr:to>
    <xdr:pic>
      <xdr:nvPicPr>
        <xdr:cNvPr id="5" name="图片 3" descr="SZAMB 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1486" y="11430"/>
          <a:ext cx="1960063" cy="847498"/>
        </a:xfrm>
        <a:prstGeom prst="rect">
          <a:avLst/>
        </a:prstGeom>
      </xdr:spPr>
    </xdr:pic>
    <xdr:clientData/>
  </xdr:twoCellAnchor>
  <xdr:twoCellAnchor editAs="oneCell">
    <xdr:from>
      <xdr:col>6</xdr:col>
      <xdr:colOff>580482</xdr:colOff>
      <xdr:row>28</xdr:row>
      <xdr:rowOff>166012</xdr:rowOff>
    </xdr:from>
    <xdr:to>
      <xdr:col>8</xdr:col>
      <xdr:colOff>850865</xdr:colOff>
      <xdr:row>36</xdr:row>
      <xdr:rowOff>227649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0939766">
          <a:off x="5866857" y="11557912"/>
          <a:ext cx="1965833" cy="1549654"/>
        </a:xfrm>
        <a:prstGeom prst="rect">
          <a:avLst/>
        </a:prstGeom>
      </xdr:spPr>
    </xdr:pic>
    <xdr:clientData/>
  </xdr:twoCellAnchor>
  <xdr:twoCellAnchor editAs="oneCell">
    <xdr:from>
      <xdr:col>11</xdr:col>
      <xdr:colOff>300037</xdr:colOff>
      <xdr:row>10</xdr:row>
      <xdr:rowOff>64293</xdr:rowOff>
    </xdr:from>
    <xdr:to>
      <xdr:col>20</xdr:col>
      <xdr:colOff>205527</xdr:colOff>
      <xdr:row>16</xdr:row>
      <xdr:rowOff>675953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39287" y="2464593"/>
          <a:ext cx="5306165" cy="3396135"/>
        </a:xfrm>
        <a:prstGeom prst="rect">
          <a:avLst/>
        </a:prstGeom>
      </xdr:spPr>
    </xdr:pic>
    <xdr:clientData/>
  </xdr:twoCellAnchor>
  <xdr:twoCellAnchor editAs="oneCell">
    <xdr:from>
      <xdr:col>4</xdr:col>
      <xdr:colOff>42333</xdr:colOff>
      <xdr:row>14</xdr:row>
      <xdr:rowOff>31750</xdr:rowOff>
    </xdr:from>
    <xdr:to>
      <xdr:col>4</xdr:col>
      <xdr:colOff>1461746</xdr:colOff>
      <xdr:row>14</xdr:row>
      <xdr:rowOff>1037167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0583" y="3333750"/>
          <a:ext cx="1419413" cy="1005417"/>
        </a:xfrm>
        <a:prstGeom prst="rect">
          <a:avLst/>
        </a:prstGeom>
      </xdr:spPr>
    </xdr:pic>
    <xdr:clientData/>
  </xdr:twoCellAnchor>
  <xdr:twoCellAnchor editAs="oneCell">
    <xdr:from>
      <xdr:col>4</xdr:col>
      <xdr:colOff>444500</xdr:colOff>
      <xdr:row>16</xdr:row>
      <xdr:rowOff>158745</xdr:rowOff>
    </xdr:from>
    <xdr:to>
      <xdr:col>4</xdr:col>
      <xdr:colOff>974898</xdr:colOff>
      <xdr:row>16</xdr:row>
      <xdr:rowOff>731819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22750" y="5333995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459317</xdr:colOff>
      <xdr:row>17</xdr:row>
      <xdr:rowOff>152400</xdr:rowOff>
    </xdr:from>
    <xdr:to>
      <xdr:col>4</xdr:col>
      <xdr:colOff>989715</xdr:colOff>
      <xdr:row>17</xdr:row>
      <xdr:rowOff>725474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37567" y="6131983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486834</xdr:colOff>
      <xdr:row>18</xdr:row>
      <xdr:rowOff>95250</xdr:rowOff>
    </xdr:from>
    <xdr:to>
      <xdr:col>4</xdr:col>
      <xdr:colOff>1017232</xdr:colOff>
      <xdr:row>18</xdr:row>
      <xdr:rowOff>668324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5084" y="6868583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476250</xdr:colOff>
      <xdr:row>19</xdr:row>
      <xdr:rowOff>169334</xdr:rowOff>
    </xdr:from>
    <xdr:to>
      <xdr:col>4</xdr:col>
      <xdr:colOff>1006648</xdr:colOff>
      <xdr:row>19</xdr:row>
      <xdr:rowOff>742408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54500" y="7736417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148167</xdr:colOff>
      <xdr:row>20</xdr:row>
      <xdr:rowOff>31748</xdr:rowOff>
    </xdr:from>
    <xdr:to>
      <xdr:col>4</xdr:col>
      <xdr:colOff>1365250</xdr:colOff>
      <xdr:row>20</xdr:row>
      <xdr:rowOff>807447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6417" y="8392581"/>
          <a:ext cx="1217083" cy="775699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21</xdr:row>
      <xdr:rowOff>74083</xdr:rowOff>
    </xdr:from>
    <xdr:to>
      <xdr:col>4</xdr:col>
      <xdr:colOff>1422765</xdr:colOff>
      <xdr:row>21</xdr:row>
      <xdr:rowOff>957009</xdr:rowOff>
    </xdr:to>
    <xdr:pic>
      <xdr:nvPicPr>
        <xdr:cNvPr id="14" name="图片 17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9302750"/>
          <a:ext cx="1359265" cy="8829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200025</xdr:rowOff>
        </xdr:from>
        <xdr:to>
          <xdr:col>10</xdr:col>
          <xdr:colOff>581025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36</xdr:row>
      <xdr:rowOff>9525</xdr:rowOff>
    </xdr:from>
    <xdr:to>
      <xdr:col>3</xdr:col>
      <xdr:colOff>742949</xdr:colOff>
      <xdr:row>36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>
        <a:xfrm>
          <a:off x="676274" y="13154025"/>
          <a:ext cx="1724025" cy="0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zh-CN" altLang="en-US"/>
        </a:p>
      </xdr:txBody>
    </xdr:sp>
    <xdr:clientData/>
  </xdr:twoCellAnchor>
  <xdr:twoCellAnchor>
    <xdr:from>
      <xdr:col>6</xdr:col>
      <xdr:colOff>28575</xdr:colOff>
      <xdr:row>36</xdr:row>
      <xdr:rowOff>0</xdr:rowOff>
    </xdr:from>
    <xdr:to>
      <xdr:col>8</xdr:col>
      <xdr:colOff>1199515</xdr:colOff>
      <xdr:row>36</xdr:row>
      <xdr:rowOff>9525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>
        <a:xfrm flipV="1">
          <a:off x="5915025" y="13144500"/>
          <a:ext cx="2723515" cy="9525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147411</xdr:colOff>
      <xdr:row>0</xdr:row>
      <xdr:rowOff>11430</xdr:rowOff>
    </xdr:from>
    <xdr:to>
      <xdr:col>9</xdr:col>
      <xdr:colOff>2449</xdr:colOff>
      <xdr:row>2</xdr:row>
      <xdr:rowOff>30253</xdr:rowOff>
    </xdr:to>
    <xdr:pic>
      <xdr:nvPicPr>
        <xdr:cNvPr id="4" name="图片 3" descr="SZAMB Log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561" y="11430"/>
          <a:ext cx="1960063" cy="847498"/>
        </a:xfrm>
        <a:prstGeom prst="rect">
          <a:avLst/>
        </a:prstGeom>
      </xdr:spPr>
    </xdr:pic>
    <xdr:clientData/>
  </xdr:twoCellAnchor>
  <xdr:twoCellAnchor editAs="oneCell">
    <xdr:from>
      <xdr:col>6</xdr:col>
      <xdr:colOff>580482</xdr:colOff>
      <xdr:row>28</xdr:row>
      <xdr:rowOff>166012</xdr:rowOff>
    </xdr:from>
    <xdr:to>
      <xdr:col>8</xdr:col>
      <xdr:colOff>850865</xdr:colOff>
      <xdr:row>36</xdr:row>
      <xdr:rowOff>227649</xdr:rowOff>
    </xdr:to>
    <xdr:pic>
      <xdr:nvPicPr>
        <xdr:cNvPr id="5" name="图片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0939766">
          <a:off x="6466932" y="11824612"/>
          <a:ext cx="1965833" cy="1547537"/>
        </a:xfrm>
        <a:prstGeom prst="rect">
          <a:avLst/>
        </a:prstGeom>
      </xdr:spPr>
    </xdr:pic>
    <xdr:clientData/>
  </xdr:twoCellAnchor>
  <xdr:twoCellAnchor editAs="oneCell">
    <xdr:from>
      <xdr:col>11</xdr:col>
      <xdr:colOff>300037</xdr:colOff>
      <xdr:row>10</xdr:row>
      <xdr:rowOff>64293</xdr:rowOff>
    </xdr:from>
    <xdr:to>
      <xdr:col>20</xdr:col>
      <xdr:colOff>205527</xdr:colOff>
      <xdr:row>16</xdr:row>
      <xdr:rowOff>675953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39362" y="2464593"/>
          <a:ext cx="5306165" cy="3402485"/>
        </a:xfrm>
        <a:prstGeom prst="rect">
          <a:avLst/>
        </a:prstGeom>
      </xdr:spPr>
    </xdr:pic>
    <xdr:clientData/>
  </xdr:twoCellAnchor>
  <xdr:twoCellAnchor editAs="oneCell">
    <xdr:from>
      <xdr:col>4</xdr:col>
      <xdr:colOff>444500</xdr:colOff>
      <xdr:row>16</xdr:row>
      <xdr:rowOff>158745</xdr:rowOff>
    </xdr:from>
    <xdr:to>
      <xdr:col>4</xdr:col>
      <xdr:colOff>974898</xdr:colOff>
      <xdr:row>16</xdr:row>
      <xdr:rowOff>731819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16400" y="5349870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459317</xdr:colOff>
      <xdr:row>17</xdr:row>
      <xdr:rowOff>152400</xdr:rowOff>
    </xdr:from>
    <xdr:to>
      <xdr:col>4</xdr:col>
      <xdr:colOff>989715</xdr:colOff>
      <xdr:row>17</xdr:row>
      <xdr:rowOff>725474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31217" y="6143625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486834</xdr:colOff>
      <xdr:row>18</xdr:row>
      <xdr:rowOff>95250</xdr:rowOff>
    </xdr:from>
    <xdr:to>
      <xdr:col>4</xdr:col>
      <xdr:colOff>1017232</xdr:colOff>
      <xdr:row>18</xdr:row>
      <xdr:rowOff>668324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58734" y="6877050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476250</xdr:colOff>
      <xdr:row>19</xdr:row>
      <xdr:rowOff>169334</xdr:rowOff>
    </xdr:from>
    <xdr:to>
      <xdr:col>4</xdr:col>
      <xdr:colOff>1006648</xdr:colOff>
      <xdr:row>19</xdr:row>
      <xdr:rowOff>742408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48150" y="7741709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148167</xdr:colOff>
      <xdr:row>20</xdr:row>
      <xdr:rowOff>31748</xdr:rowOff>
    </xdr:from>
    <xdr:to>
      <xdr:col>4</xdr:col>
      <xdr:colOff>1365250</xdr:colOff>
      <xdr:row>20</xdr:row>
      <xdr:rowOff>807447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0067" y="8394698"/>
          <a:ext cx="1217083" cy="775699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21</xdr:row>
      <xdr:rowOff>74083</xdr:rowOff>
    </xdr:from>
    <xdr:to>
      <xdr:col>4</xdr:col>
      <xdr:colOff>1422765</xdr:colOff>
      <xdr:row>21</xdr:row>
      <xdr:rowOff>957009</xdr:rowOff>
    </xdr:to>
    <xdr:pic>
      <xdr:nvPicPr>
        <xdr:cNvPr id="13" name="图片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9303808"/>
          <a:ext cx="1359265" cy="8829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200025</xdr:rowOff>
        </xdr:from>
        <xdr:to>
          <xdr:col>10</xdr:col>
          <xdr:colOff>581025</xdr:colOff>
          <xdr:row>0</xdr:row>
          <xdr:rowOff>504825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539750</xdr:colOff>
      <xdr:row>14</xdr:row>
      <xdr:rowOff>95250</xdr:rowOff>
    </xdr:from>
    <xdr:to>
      <xdr:col>4</xdr:col>
      <xdr:colOff>1006086</xdr:colOff>
      <xdr:row>14</xdr:row>
      <xdr:rowOff>1058334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18000" y="3397250"/>
          <a:ext cx="466336" cy="9630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41</xdr:row>
      <xdr:rowOff>9525</xdr:rowOff>
    </xdr:from>
    <xdr:to>
      <xdr:col>3</xdr:col>
      <xdr:colOff>742949</xdr:colOff>
      <xdr:row>41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>
        <a:xfrm>
          <a:off x="676274" y="13154025"/>
          <a:ext cx="1724025" cy="0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zh-CN" altLang="en-US"/>
        </a:p>
      </xdr:txBody>
    </xdr:sp>
    <xdr:clientData/>
  </xdr:twoCellAnchor>
  <xdr:twoCellAnchor>
    <xdr:from>
      <xdr:col>6</xdr:col>
      <xdr:colOff>28575</xdr:colOff>
      <xdr:row>41</xdr:row>
      <xdr:rowOff>0</xdr:rowOff>
    </xdr:from>
    <xdr:to>
      <xdr:col>8</xdr:col>
      <xdr:colOff>1199515</xdr:colOff>
      <xdr:row>41</xdr:row>
      <xdr:rowOff>9525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>
        <a:xfrm flipV="1">
          <a:off x="5915025" y="13144500"/>
          <a:ext cx="2723515" cy="9525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147411</xdr:colOff>
      <xdr:row>0</xdr:row>
      <xdr:rowOff>11430</xdr:rowOff>
    </xdr:from>
    <xdr:to>
      <xdr:col>9</xdr:col>
      <xdr:colOff>2449</xdr:colOff>
      <xdr:row>2</xdr:row>
      <xdr:rowOff>30253</xdr:rowOff>
    </xdr:to>
    <xdr:pic>
      <xdr:nvPicPr>
        <xdr:cNvPr id="4" name="图片 3" descr="SZAMB Log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561" y="11430"/>
          <a:ext cx="1960063" cy="847498"/>
        </a:xfrm>
        <a:prstGeom prst="rect">
          <a:avLst/>
        </a:prstGeom>
      </xdr:spPr>
    </xdr:pic>
    <xdr:clientData/>
  </xdr:twoCellAnchor>
  <xdr:twoCellAnchor editAs="oneCell">
    <xdr:from>
      <xdr:col>6</xdr:col>
      <xdr:colOff>580482</xdr:colOff>
      <xdr:row>33</xdr:row>
      <xdr:rowOff>166012</xdr:rowOff>
    </xdr:from>
    <xdr:to>
      <xdr:col>8</xdr:col>
      <xdr:colOff>850865</xdr:colOff>
      <xdr:row>41</xdr:row>
      <xdr:rowOff>227649</xdr:rowOff>
    </xdr:to>
    <xdr:pic>
      <xdr:nvPicPr>
        <xdr:cNvPr id="5" name="图片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0939766">
          <a:off x="6466932" y="11824612"/>
          <a:ext cx="1965833" cy="1547537"/>
        </a:xfrm>
        <a:prstGeom prst="rect">
          <a:avLst/>
        </a:prstGeom>
      </xdr:spPr>
    </xdr:pic>
    <xdr:clientData/>
  </xdr:twoCellAnchor>
  <xdr:twoCellAnchor editAs="oneCell">
    <xdr:from>
      <xdr:col>11</xdr:col>
      <xdr:colOff>300037</xdr:colOff>
      <xdr:row>10</xdr:row>
      <xdr:rowOff>64293</xdr:rowOff>
    </xdr:from>
    <xdr:to>
      <xdr:col>20</xdr:col>
      <xdr:colOff>205527</xdr:colOff>
      <xdr:row>17</xdr:row>
      <xdr:rowOff>178536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39362" y="2464593"/>
          <a:ext cx="5306165" cy="3402485"/>
        </a:xfrm>
        <a:prstGeom prst="rect">
          <a:avLst/>
        </a:prstGeom>
      </xdr:spPr>
    </xdr:pic>
    <xdr:clientData/>
  </xdr:twoCellAnchor>
  <xdr:twoCellAnchor editAs="oneCell">
    <xdr:from>
      <xdr:col>4</xdr:col>
      <xdr:colOff>433916</xdr:colOff>
      <xdr:row>20</xdr:row>
      <xdr:rowOff>296328</xdr:rowOff>
    </xdr:from>
    <xdr:to>
      <xdr:col>4</xdr:col>
      <xdr:colOff>964314</xdr:colOff>
      <xdr:row>20</xdr:row>
      <xdr:rowOff>869402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12166" y="8202078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427567</xdr:colOff>
      <xdr:row>22</xdr:row>
      <xdr:rowOff>184151</xdr:rowOff>
    </xdr:from>
    <xdr:to>
      <xdr:col>4</xdr:col>
      <xdr:colOff>957965</xdr:colOff>
      <xdr:row>22</xdr:row>
      <xdr:rowOff>757225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05817" y="9116484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402167</xdr:colOff>
      <xdr:row>19</xdr:row>
      <xdr:rowOff>127000</xdr:rowOff>
    </xdr:from>
    <xdr:to>
      <xdr:col>4</xdr:col>
      <xdr:colOff>932565</xdr:colOff>
      <xdr:row>19</xdr:row>
      <xdr:rowOff>700074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80417" y="7239000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465667</xdr:colOff>
      <xdr:row>23</xdr:row>
      <xdr:rowOff>254000</xdr:rowOff>
    </xdr:from>
    <xdr:to>
      <xdr:col>4</xdr:col>
      <xdr:colOff>996065</xdr:colOff>
      <xdr:row>23</xdr:row>
      <xdr:rowOff>827074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43917" y="10191750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444500</xdr:colOff>
      <xdr:row>20</xdr:row>
      <xdr:rowOff>31748</xdr:rowOff>
    </xdr:from>
    <xdr:to>
      <xdr:col>18</xdr:col>
      <xdr:colOff>455083</xdr:colOff>
      <xdr:row>20</xdr:row>
      <xdr:rowOff>807447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3833" y="8085665"/>
          <a:ext cx="1217083" cy="775699"/>
        </a:xfrm>
        <a:prstGeom prst="rect">
          <a:avLst/>
        </a:prstGeom>
      </xdr:spPr>
    </xdr:pic>
    <xdr:clientData/>
  </xdr:twoCellAnchor>
  <xdr:twoCellAnchor editAs="oneCell">
    <xdr:from>
      <xdr:col>16</xdr:col>
      <xdr:colOff>211667</xdr:colOff>
      <xdr:row>22</xdr:row>
      <xdr:rowOff>349250</xdr:rowOff>
    </xdr:from>
    <xdr:to>
      <xdr:col>18</xdr:col>
      <xdr:colOff>364432</xdr:colOff>
      <xdr:row>23</xdr:row>
      <xdr:rowOff>226760</xdr:rowOff>
    </xdr:to>
    <xdr:pic>
      <xdr:nvPicPr>
        <xdr:cNvPr id="13" name="图片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81000" y="9271000"/>
          <a:ext cx="1359265" cy="8829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200025</xdr:rowOff>
        </xdr:from>
        <xdr:to>
          <xdr:col>10</xdr:col>
          <xdr:colOff>390525</xdr:colOff>
          <xdr:row>0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1894417</xdr:colOff>
      <xdr:row>15</xdr:row>
      <xdr:rowOff>381001</xdr:rowOff>
    </xdr:from>
    <xdr:to>
      <xdr:col>5</xdr:col>
      <xdr:colOff>10583</xdr:colOff>
      <xdr:row>17</xdr:row>
      <xdr:rowOff>582083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2BD4B9E-6C8A-832A-D618-4691ADBEE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6000" y="4445001"/>
          <a:ext cx="1725083" cy="1809749"/>
        </a:xfrm>
        <a:prstGeom prst="rect">
          <a:avLst/>
        </a:prstGeom>
      </xdr:spPr>
    </xdr:pic>
    <xdr:clientData/>
  </xdr:twoCellAnchor>
  <xdr:twoCellAnchor editAs="oneCell">
    <xdr:from>
      <xdr:col>4</xdr:col>
      <xdr:colOff>232833</xdr:colOff>
      <xdr:row>25</xdr:row>
      <xdr:rowOff>63500</xdr:rowOff>
    </xdr:from>
    <xdr:to>
      <xdr:col>5</xdr:col>
      <xdr:colOff>99848</xdr:colOff>
      <xdr:row>25</xdr:row>
      <xdr:rowOff>946426</xdr:rowOff>
    </xdr:to>
    <xdr:pic>
      <xdr:nvPicPr>
        <xdr:cNvPr id="17" name="图片 17">
          <a:extLst>
            <a:ext uri="{FF2B5EF4-FFF2-40B4-BE49-F238E27FC236}">
              <a16:creationId xmlns:a16="http://schemas.microsoft.com/office/drawing/2014/main" id="{699CDB18-4AF7-48C8-B39F-FC6D9B0A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1083" y="12170833"/>
          <a:ext cx="1359265" cy="882926"/>
        </a:xfrm>
        <a:prstGeom prst="rect">
          <a:avLst/>
        </a:prstGeom>
      </xdr:spPr>
    </xdr:pic>
    <xdr:clientData/>
  </xdr:twoCellAnchor>
  <xdr:twoCellAnchor editAs="oneCell">
    <xdr:from>
      <xdr:col>4</xdr:col>
      <xdr:colOff>406399</xdr:colOff>
      <xdr:row>21</xdr:row>
      <xdr:rowOff>194728</xdr:rowOff>
    </xdr:from>
    <xdr:to>
      <xdr:col>4</xdr:col>
      <xdr:colOff>936797</xdr:colOff>
      <xdr:row>21</xdr:row>
      <xdr:rowOff>767802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2A79A08-02E6-4391-8AA8-76E460AD9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84649" y="9127061"/>
          <a:ext cx="530398" cy="573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37</xdr:row>
      <xdr:rowOff>9525</xdr:rowOff>
    </xdr:from>
    <xdr:to>
      <xdr:col>3</xdr:col>
      <xdr:colOff>742949</xdr:colOff>
      <xdr:row>37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>
        <a:xfrm>
          <a:off x="676274" y="13154025"/>
          <a:ext cx="1724025" cy="0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zh-CN" altLang="en-US"/>
        </a:p>
      </xdr:txBody>
    </xdr:sp>
    <xdr:clientData/>
  </xdr:twoCellAnchor>
  <xdr:twoCellAnchor>
    <xdr:from>
      <xdr:col>6</xdr:col>
      <xdr:colOff>28575</xdr:colOff>
      <xdr:row>37</xdr:row>
      <xdr:rowOff>0</xdr:rowOff>
    </xdr:from>
    <xdr:to>
      <xdr:col>8</xdr:col>
      <xdr:colOff>1199515</xdr:colOff>
      <xdr:row>37</xdr:row>
      <xdr:rowOff>9525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>
        <a:xfrm flipV="1">
          <a:off x="5915025" y="13144500"/>
          <a:ext cx="2723515" cy="9525"/>
        </a:xfrm>
        <a:prstGeom prst="line">
          <a:avLst/>
        </a:prstGeom>
        <a:noFill/>
        <a:ln w="9525">
          <a:solidFill>
            <a:srgbClr val="000000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147411</xdr:colOff>
      <xdr:row>0</xdr:row>
      <xdr:rowOff>11430</xdr:rowOff>
    </xdr:from>
    <xdr:to>
      <xdr:col>9</xdr:col>
      <xdr:colOff>2449</xdr:colOff>
      <xdr:row>2</xdr:row>
      <xdr:rowOff>30253</xdr:rowOff>
    </xdr:to>
    <xdr:pic>
      <xdr:nvPicPr>
        <xdr:cNvPr id="4" name="图片 3" descr="SZAMB 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561" y="11430"/>
          <a:ext cx="1960063" cy="847498"/>
        </a:xfrm>
        <a:prstGeom prst="rect">
          <a:avLst/>
        </a:prstGeom>
      </xdr:spPr>
    </xdr:pic>
    <xdr:clientData/>
  </xdr:twoCellAnchor>
  <xdr:twoCellAnchor editAs="oneCell">
    <xdr:from>
      <xdr:col>6</xdr:col>
      <xdr:colOff>580482</xdr:colOff>
      <xdr:row>29</xdr:row>
      <xdr:rowOff>166012</xdr:rowOff>
    </xdr:from>
    <xdr:to>
      <xdr:col>8</xdr:col>
      <xdr:colOff>850865</xdr:colOff>
      <xdr:row>37</xdr:row>
      <xdr:rowOff>227650</xdr:rowOff>
    </xdr:to>
    <xdr:pic>
      <xdr:nvPicPr>
        <xdr:cNvPr id="5" name="图片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0939766">
          <a:off x="6466932" y="11824612"/>
          <a:ext cx="1965833" cy="1547537"/>
        </a:xfrm>
        <a:prstGeom prst="rect">
          <a:avLst/>
        </a:prstGeom>
      </xdr:spPr>
    </xdr:pic>
    <xdr:clientData/>
  </xdr:twoCellAnchor>
  <xdr:twoCellAnchor editAs="oneCell">
    <xdr:from>
      <xdr:col>11</xdr:col>
      <xdr:colOff>300037</xdr:colOff>
      <xdr:row>10</xdr:row>
      <xdr:rowOff>64293</xdr:rowOff>
    </xdr:from>
    <xdr:to>
      <xdr:col>20</xdr:col>
      <xdr:colOff>205527</xdr:colOff>
      <xdr:row>16</xdr:row>
      <xdr:rowOff>411370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39362" y="2464593"/>
          <a:ext cx="5306165" cy="3402485"/>
        </a:xfrm>
        <a:prstGeom prst="rect">
          <a:avLst/>
        </a:prstGeom>
      </xdr:spPr>
    </xdr:pic>
    <xdr:clientData/>
  </xdr:twoCellAnchor>
  <xdr:twoCellAnchor editAs="oneCell">
    <xdr:from>
      <xdr:col>4</xdr:col>
      <xdr:colOff>444500</xdr:colOff>
      <xdr:row>17</xdr:row>
      <xdr:rowOff>158745</xdr:rowOff>
    </xdr:from>
    <xdr:to>
      <xdr:col>4</xdr:col>
      <xdr:colOff>974898</xdr:colOff>
      <xdr:row>17</xdr:row>
      <xdr:rowOff>731819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16400" y="5349870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459317</xdr:colOff>
      <xdr:row>18</xdr:row>
      <xdr:rowOff>152400</xdr:rowOff>
    </xdr:from>
    <xdr:to>
      <xdr:col>4</xdr:col>
      <xdr:colOff>989715</xdr:colOff>
      <xdr:row>18</xdr:row>
      <xdr:rowOff>725474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31217" y="6143625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486834</xdr:colOff>
      <xdr:row>19</xdr:row>
      <xdr:rowOff>95250</xdr:rowOff>
    </xdr:from>
    <xdr:to>
      <xdr:col>4</xdr:col>
      <xdr:colOff>1017232</xdr:colOff>
      <xdr:row>19</xdr:row>
      <xdr:rowOff>668324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58734" y="6877050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476250</xdr:colOff>
      <xdr:row>20</xdr:row>
      <xdr:rowOff>169334</xdr:rowOff>
    </xdr:from>
    <xdr:to>
      <xdr:col>4</xdr:col>
      <xdr:colOff>1006648</xdr:colOff>
      <xdr:row>20</xdr:row>
      <xdr:rowOff>742408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48150" y="7741709"/>
          <a:ext cx="530398" cy="573074"/>
        </a:xfrm>
        <a:prstGeom prst="rect">
          <a:avLst/>
        </a:prstGeom>
      </xdr:spPr>
    </xdr:pic>
    <xdr:clientData/>
  </xdr:twoCellAnchor>
  <xdr:twoCellAnchor editAs="oneCell">
    <xdr:from>
      <xdr:col>4</xdr:col>
      <xdr:colOff>148167</xdr:colOff>
      <xdr:row>21</xdr:row>
      <xdr:rowOff>31748</xdr:rowOff>
    </xdr:from>
    <xdr:to>
      <xdr:col>4</xdr:col>
      <xdr:colOff>1365250</xdr:colOff>
      <xdr:row>21</xdr:row>
      <xdr:rowOff>807447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0067" y="8394698"/>
          <a:ext cx="1217083" cy="775699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22</xdr:row>
      <xdr:rowOff>74083</xdr:rowOff>
    </xdr:from>
    <xdr:to>
      <xdr:col>4</xdr:col>
      <xdr:colOff>1422765</xdr:colOff>
      <xdr:row>22</xdr:row>
      <xdr:rowOff>957009</xdr:rowOff>
    </xdr:to>
    <xdr:pic>
      <xdr:nvPicPr>
        <xdr:cNvPr id="12" name="图片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9303808"/>
          <a:ext cx="1359265" cy="882926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14</xdr:row>
      <xdr:rowOff>21167</xdr:rowOff>
    </xdr:from>
    <xdr:to>
      <xdr:col>4</xdr:col>
      <xdr:colOff>1185333</xdr:colOff>
      <xdr:row>15</xdr:row>
      <xdr:rowOff>10583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900" y="3345392"/>
          <a:ext cx="931333" cy="10562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200025</xdr:rowOff>
        </xdr:from>
        <xdr:to>
          <xdr:col>10</xdr:col>
          <xdr:colOff>581025</xdr:colOff>
          <xdr:row>0</xdr:row>
          <xdr:rowOff>504825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247650</xdr:colOff>
      <xdr:row>15</xdr:row>
      <xdr:rowOff>434975</xdr:rowOff>
    </xdr:from>
    <xdr:to>
      <xdr:col>4</xdr:col>
      <xdr:colOff>1178983</xdr:colOff>
      <xdr:row>16</xdr:row>
      <xdr:rowOff>424392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900" y="4805892"/>
          <a:ext cx="931333" cy="1058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1E729-D139-4007-A298-C0E70F0CDA10}">
  <sheetPr codeName="Hoja1">
    <pageSetUpPr fitToPage="1"/>
  </sheetPr>
  <dimension ref="B1:R39"/>
  <sheetViews>
    <sheetView showGridLines="0" view="pageBreakPreview" topLeftCell="B1" zoomScale="90" zoomScaleSheetLayoutView="90" workbookViewId="0">
      <selection activeCell="B5" sqref="B5"/>
    </sheetView>
  </sheetViews>
  <sheetFormatPr baseColWidth="10" defaultColWidth="9" defaultRowHeight="20.100000000000001" customHeight="1"/>
  <cols>
    <col min="1" max="1" width="9" style="8"/>
    <col min="2" max="2" width="4.7109375" style="8" customWidth="1"/>
    <col min="3" max="3" width="11.140625" style="8" customWidth="1"/>
    <col min="4" max="4" width="31.7109375" style="8" customWidth="1"/>
    <col min="5" max="5" width="22.42578125" style="8" customWidth="1"/>
    <col min="6" max="6" width="9.28515625" style="8" customWidth="1"/>
    <col min="7" max="7" width="9.7109375" style="8" customWidth="1"/>
    <col min="8" max="8" width="15.7109375" style="8" customWidth="1"/>
    <col min="9" max="9" width="15.85546875" style="8" customWidth="1"/>
    <col min="10" max="16384" width="9" style="8"/>
  </cols>
  <sheetData>
    <row r="1" spans="2:10" s="1" customFormat="1" ht="44.1" customHeight="1">
      <c r="B1" s="56" t="s">
        <v>0</v>
      </c>
      <c r="C1" s="56"/>
      <c r="D1" s="56"/>
      <c r="E1" s="56"/>
      <c r="F1" s="57"/>
      <c r="G1" s="57"/>
      <c r="H1" s="57"/>
      <c r="I1" s="57"/>
    </row>
    <row r="2" spans="2:10" s="1" customFormat="1" ht="21.75" customHeight="1">
      <c r="B2" s="58" t="s">
        <v>1</v>
      </c>
      <c r="C2" s="58"/>
      <c r="D2" s="58"/>
      <c r="E2" s="58"/>
      <c r="F2" s="58"/>
      <c r="G2" s="58"/>
      <c r="H2" s="58"/>
      <c r="I2" s="58"/>
    </row>
    <row r="3" spans="2:10" s="1" customFormat="1" ht="16.5" customHeight="1">
      <c r="E3" s="2" t="s">
        <v>2</v>
      </c>
      <c r="F3" s="3" t="s">
        <v>3</v>
      </c>
      <c r="G3" s="2"/>
      <c r="H3" s="2"/>
      <c r="I3" s="2"/>
    </row>
    <row r="4" spans="2:10" s="1" customFormat="1" ht="12.75" customHeight="1">
      <c r="E4" s="4" t="s">
        <v>4</v>
      </c>
      <c r="F4" s="1" t="s">
        <v>5</v>
      </c>
    </row>
    <row r="5" spans="2:10" s="1" customFormat="1" ht="27" customHeight="1">
      <c r="B5" s="54" t="s">
        <v>49</v>
      </c>
      <c r="E5" s="59" t="s">
        <v>46</v>
      </c>
      <c r="F5" s="59"/>
      <c r="G5" s="59"/>
      <c r="H5" s="59"/>
      <c r="I5" s="59"/>
    </row>
    <row r="6" spans="2:10" s="1" customFormat="1" ht="12" customHeight="1">
      <c r="B6" s="4" t="s">
        <v>6</v>
      </c>
      <c r="C6" s="4"/>
      <c r="D6" s="5"/>
      <c r="E6" s="6" t="s">
        <v>7</v>
      </c>
    </row>
    <row r="7" spans="2:10" ht="14.25" customHeight="1">
      <c r="B7" s="4" t="s">
        <v>8</v>
      </c>
      <c r="C7" s="4"/>
      <c r="D7" s="7"/>
      <c r="E7" s="4" t="s">
        <v>9</v>
      </c>
      <c r="F7" s="1"/>
      <c r="G7" s="1"/>
      <c r="H7" s="2"/>
      <c r="I7" s="1"/>
    </row>
    <row r="8" spans="2:10" ht="14.25" customHeight="1">
      <c r="B8" s="4" t="s">
        <v>10</v>
      </c>
      <c r="C8" s="4"/>
      <c r="D8" s="7" t="s">
        <v>11</v>
      </c>
      <c r="E8" s="9" t="s">
        <v>12</v>
      </c>
      <c r="F8" s="2"/>
      <c r="G8" s="9" t="s">
        <v>13</v>
      </c>
      <c r="H8" s="10"/>
    </row>
    <row r="9" spans="2:10" ht="12.75" customHeight="1">
      <c r="B9" s="4" t="s">
        <v>14</v>
      </c>
      <c r="C9" s="4"/>
      <c r="D9" s="6" t="s">
        <v>15</v>
      </c>
    </row>
    <row r="10" spans="2:10" ht="14.25" customHeight="1">
      <c r="B10" s="9" t="s">
        <v>16</v>
      </c>
      <c r="C10" s="9"/>
      <c r="D10" s="11"/>
      <c r="E10" s="2" t="s">
        <v>17</v>
      </c>
      <c r="F10" s="3" t="s">
        <v>18</v>
      </c>
      <c r="G10" s="2"/>
      <c r="H10" s="2"/>
      <c r="I10" s="3"/>
    </row>
    <row r="11" spans="2:10" ht="24.75" customHeight="1">
      <c r="B11" s="9" t="s">
        <v>19</v>
      </c>
      <c r="C11" s="9"/>
      <c r="D11" s="12" t="s">
        <v>20</v>
      </c>
      <c r="E11" s="4" t="s">
        <v>21</v>
      </c>
      <c r="F11" s="1"/>
      <c r="G11" s="1"/>
      <c r="H11" s="1"/>
      <c r="I11" s="1"/>
    </row>
    <row r="12" spans="2:10" ht="13.5" customHeight="1">
      <c r="B12" s="9" t="s">
        <v>22</v>
      </c>
      <c r="C12" s="9"/>
      <c r="E12" s="4" t="s">
        <v>23</v>
      </c>
      <c r="F12" s="1"/>
      <c r="G12" s="4"/>
      <c r="H12" s="1"/>
      <c r="I12" s="1"/>
    </row>
    <row r="13" spans="2:10" ht="13.5" customHeight="1">
      <c r="B13" s="9"/>
      <c r="C13" s="9"/>
      <c r="E13" s="4" t="s">
        <v>24</v>
      </c>
      <c r="F13" s="1"/>
      <c r="G13" s="49" t="s">
        <v>47</v>
      </c>
      <c r="H13" s="50" t="s">
        <v>48</v>
      </c>
      <c r="I13" s="1"/>
    </row>
    <row r="14" spans="2:10" ht="21" customHeight="1">
      <c r="B14" s="13" t="s">
        <v>25</v>
      </c>
      <c r="C14" s="13" t="s">
        <v>26</v>
      </c>
      <c r="D14" s="13" t="s">
        <v>27</v>
      </c>
      <c r="E14" s="51" t="s">
        <v>28</v>
      </c>
      <c r="F14" s="13" t="s">
        <v>29</v>
      </c>
      <c r="G14" s="13" t="s">
        <v>30</v>
      </c>
      <c r="H14" s="14" t="s">
        <v>31</v>
      </c>
      <c r="I14" s="14" t="s">
        <v>32</v>
      </c>
      <c r="J14" s="15"/>
    </row>
    <row r="15" spans="2:10" s="22" customFormat="1" ht="84" customHeight="1">
      <c r="B15" s="16"/>
      <c r="C15" s="17"/>
      <c r="D15" s="18"/>
      <c r="E15" s="52"/>
      <c r="F15" s="19"/>
      <c r="G15" s="19"/>
      <c r="H15" s="20"/>
      <c r="I15" s="20"/>
      <c r="J15" s="21"/>
    </row>
    <row r="16" spans="2:10" s="22" customFormat="1" ht="63" customHeight="1">
      <c r="B16" s="16"/>
      <c r="C16" s="17"/>
      <c r="D16" s="18"/>
      <c r="E16" s="52"/>
      <c r="F16" s="19"/>
      <c r="G16" s="19"/>
      <c r="H16" s="20"/>
      <c r="I16" s="20"/>
      <c r="J16" s="21"/>
    </row>
    <row r="17" spans="2:18" s="22" customFormat="1" ht="63" customHeight="1">
      <c r="B17" s="16"/>
      <c r="C17" s="17"/>
      <c r="D17" s="18"/>
      <c r="E17" s="53"/>
      <c r="F17" s="19"/>
      <c r="G17" s="19"/>
      <c r="H17" s="20"/>
      <c r="I17" s="20"/>
      <c r="J17" s="21"/>
    </row>
    <row r="18" spans="2:18" s="22" customFormat="1" ht="62.25" customHeight="1">
      <c r="B18" s="16"/>
      <c r="C18" s="17"/>
      <c r="D18" s="18"/>
      <c r="E18" s="53"/>
      <c r="F18" s="19"/>
      <c r="G18" s="19"/>
      <c r="H18" s="20"/>
      <c r="I18" s="20"/>
      <c r="J18" s="21"/>
      <c r="N18" s="23"/>
    </row>
    <row r="19" spans="2:18" s="22" customFormat="1" ht="62.25" customHeight="1">
      <c r="B19" s="16"/>
      <c r="C19" s="17"/>
      <c r="D19" s="18"/>
      <c r="E19" s="53"/>
      <c r="F19" s="19"/>
      <c r="G19" s="19"/>
      <c r="H19" s="20"/>
      <c r="I19" s="20"/>
      <c r="J19" s="21"/>
      <c r="N19" s="23"/>
    </row>
    <row r="20" spans="2:18" s="22" customFormat="1" ht="62.25" customHeight="1">
      <c r="B20" s="16"/>
      <c r="C20" s="17"/>
      <c r="D20" s="18"/>
      <c r="E20" s="53"/>
      <c r="F20" s="19"/>
      <c r="G20" s="19"/>
      <c r="H20" s="20"/>
      <c r="I20" s="20"/>
      <c r="J20" s="21"/>
      <c r="N20" s="23"/>
    </row>
    <row r="21" spans="2:18" s="22" customFormat="1" ht="68.25" customHeight="1">
      <c r="B21" s="16"/>
      <c r="C21" s="17"/>
      <c r="D21" s="18"/>
      <c r="E21" s="53"/>
      <c r="F21" s="19"/>
      <c r="G21" s="19"/>
      <c r="H21" s="20"/>
      <c r="I21" s="20"/>
      <c r="J21" s="21"/>
    </row>
    <row r="22" spans="2:18" s="22" customFormat="1" ht="78.75" customHeight="1">
      <c r="B22" s="16"/>
      <c r="C22" s="24"/>
      <c r="D22" s="18"/>
      <c r="E22" s="53"/>
      <c r="F22" s="19"/>
      <c r="G22" s="19"/>
      <c r="H22" s="20"/>
      <c r="I22" s="20"/>
      <c r="J22" s="21"/>
    </row>
    <row r="23" spans="2:18" s="22" customFormat="1" ht="21.75" customHeight="1">
      <c r="B23" s="16"/>
      <c r="C23" s="24"/>
      <c r="D23" s="18"/>
      <c r="E23" s="53"/>
      <c r="F23" s="19"/>
      <c r="G23" s="19"/>
      <c r="H23" s="20"/>
      <c r="I23" s="20"/>
      <c r="J23" s="21"/>
      <c r="O23" s="25"/>
      <c r="P23" s="25"/>
      <c r="Q23" s="25"/>
      <c r="R23" s="25"/>
    </row>
    <row r="24" spans="2:18" s="28" customFormat="1" ht="20.100000000000001" customHeight="1">
      <c r="B24" s="26" t="s">
        <v>33</v>
      </c>
      <c r="C24" s="26"/>
      <c r="D24" s="26"/>
      <c r="E24" s="26"/>
      <c r="F24" s="45" t="s">
        <v>34</v>
      </c>
      <c r="G24" s="46"/>
      <c r="H24" s="47" t="s">
        <v>35</v>
      </c>
      <c r="I24" s="47">
        <f>SUM(I15:I23)</f>
        <v>0</v>
      </c>
      <c r="J24" s="27"/>
      <c r="O24" s="29"/>
      <c r="P24" s="29"/>
      <c r="Q24" s="29"/>
      <c r="R24" s="29"/>
    </row>
    <row r="25" spans="2:18" s="28" customFormat="1" ht="20.100000000000001" customHeight="1">
      <c r="B25" s="30"/>
      <c r="C25" s="30"/>
      <c r="D25" s="30"/>
      <c r="E25" s="30"/>
      <c r="F25" s="60"/>
      <c r="G25" s="60"/>
      <c r="H25" s="60"/>
      <c r="I25" s="48"/>
      <c r="J25" s="27"/>
      <c r="O25" s="29"/>
      <c r="P25" s="29"/>
      <c r="Q25" s="29"/>
      <c r="R25" s="29"/>
    </row>
    <row r="26" spans="2:18" s="28" customFormat="1" ht="20.100000000000001" customHeight="1">
      <c r="B26" s="30"/>
      <c r="C26" s="30"/>
      <c r="D26" s="30"/>
      <c r="E26" s="30"/>
      <c r="F26" s="60"/>
      <c r="G26" s="60"/>
      <c r="H26" s="60"/>
      <c r="I26" s="48"/>
      <c r="J26" s="27"/>
      <c r="O26" s="29"/>
      <c r="P26" s="29"/>
      <c r="Q26" s="29"/>
      <c r="R26" s="29"/>
    </row>
    <row r="27" spans="2:18" s="32" customFormat="1" ht="16.5" customHeight="1">
      <c r="B27" s="31" t="s">
        <v>36</v>
      </c>
      <c r="C27" s="31"/>
      <c r="D27" s="31"/>
      <c r="E27" s="3"/>
      <c r="I27" s="33"/>
      <c r="O27" s="34"/>
      <c r="P27" s="34"/>
      <c r="Q27" s="34"/>
      <c r="R27" s="34"/>
    </row>
    <row r="28" spans="2:18" s="35" customFormat="1" ht="15.75" customHeight="1">
      <c r="B28" s="35" t="s">
        <v>37</v>
      </c>
      <c r="C28" s="36"/>
      <c r="I28" s="37"/>
    </row>
    <row r="29" spans="2:18" s="32" customFormat="1" ht="15" customHeight="1">
      <c r="B29" s="31" t="s">
        <v>38</v>
      </c>
      <c r="C29" s="31"/>
      <c r="D29" s="31"/>
      <c r="E29" s="3"/>
      <c r="I29" s="33"/>
    </row>
    <row r="30" spans="2:18" s="38" customFormat="1" ht="13.5" customHeight="1">
      <c r="B30" s="38" t="s">
        <v>39</v>
      </c>
      <c r="C30" s="39"/>
      <c r="I30" s="40"/>
    </row>
    <row r="31" spans="2:18" s="38" customFormat="1" ht="13.5" customHeight="1">
      <c r="B31" s="38" t="s">
        <v>40</v>
      </c>
      <c r="C31" s="39"/>
      <c r="D31" s="41"/>
      <c r="I31" s="40"/>
    </row>
    <row r="32" spans="2:18" s="38" customFormat="1" ht="13.5" customHeight="1">
      <c r="B32" s="38" t="s">
        <v>41</v>
      </c>
      <c r="C32" s="39"/>
      <c r="I32" s="40"/>
    </row>
    <row r="33" spans="2:9" s="38" customFormat="1" ht="13.5" customHeight="1">
      <c r="B33" s="38" t="s">
        <v>42</v>
      </c>
      <c r="C33" s="39"/>
      <c r="I33" s="40"/>
    </row>
    <row r="34" spans="2:9" s="38" customFormat="1" ht="13.5" customHeight="1">
      <c r="B34" s="38" t="s">
        <v>43</v>
      </c>
      <c r="C34" s="39"/>
      <c r="I34" s="40"/>
    </row>
    <row r="35" spans="2:9" ht="16.5" customHeight="1">
      <c r="C35" s="8" t="s">
        <v>44</v>
      </c>
      <c r="G35" s="8" t="s">
        <v>45</v>
      </c>
    </row>
    <row r="36" spans="2:9" ht="18" customHeight="1">
      <c r="C36" s="42"/>
      <c r="E36" s="42"/>
      <c r="G36" s="55" t="s">
        <v>5</v>
      </c>
      <c r="H36" s="55"/>
    </row>
    <row r="37" spans="2:9" ht="19.5" customHeight="1">
      <c r="C37" s="43" t="str">
        <f>F10</f>
        <v>Comercial TSA ltda</v>
      </c>
      <c r="D37" s="9"/>
      <c r="E37" s="9"/>
      <c r="F37" s="9"/>
      <c r="G37" s="9" t="str">
        <f>F3</f>
        <v>SHENZHEN AMB TECHNOLOGY CO.,LTD.</v>
      </c>
    </row>
    <row r="39" spans="2:9" ht="20.100000000000001" customHeight="1">
      <c r="H39" s="44"/>
    </row>
  </sheetData>
  <mergeCells count="7">
    <mergeCell ref="G36:H36"/>
    <mergeCell ref="B1:E1"/>
    <mergeCell ref="F1:I1"/>
    <mergeCell ref="B2:I2"/>
    <mergeCell ref="E5:I5"/>
    <mergeCell ref="F25:H25"/>
    <mergeCell ref="F26:H26"/>
  </mergeCells>
  <printOptions horizontalCentered="1"/>
  <pageMargins left="0.39370078740157483" right="0.19684930008748908" top="0" bottom="0" header="0" footer="0"/>
  <pageSetup paperSize="9" scale="81" fitToHeight="0" orientation="portrait" horizontalDpi="1200" verticalDpi="1200" r:id="rId1"/>
  <headerFooter alignWithMargins="0">
    <oddFooter>&amp;L&amp;"Calibri"&amp;9www.szamb.com&amp;R&amp;"Calibri"&amp;9Page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RszAMBLED">
                <anchor moveWithCells="1">
                  <from>
                    <xdr:col>9</xdr:col>
                    <xdr:colOff>133350</xdr:colOff>
                    <xdr:row>0</xdr:row>
                    <xdr:rowOff>200025</xdr:rowOff>
                  </from>
                  <to>
                    <xdr:col>10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28842-AAD5-4B34-A059-17D7CE9530FA}">
  <sheetPr codeName="Hoja3">
    <pageSetUpPr fitToPage="1"/>
  </sheetPr>
  <dimension ref="B1:R39"/>
  <sheetViews>
    <sheetView showGridLines="0" view="pageBreakPreview" topLeftCell="B1" zoomScale="90" zoomScaleSheetLayoutView="90" workbookViewId="0">
      <selection activeCell="B5" sqref="B5"/>
    </sheetView>
  </sheetViews>
  <sheetFormatPr baseColWidth="10" defaultColWidth="9" defaultRowHeight="20.100000000000001" customHeight="1"/>
  <cols>
    <col min="1" max="1" width="9" style="8"/>
    <col min="2" max="2" width="4.7109375" style="8" customWidth="1"/>
    <col min="3" max="3" width="11.140625" style="8" customWidth="1"/>
    <col min="4" max="4" width="31.7109375" style="8" customWidth="1"/>
    <col min="5" max="5" width="22.42578125" style="8" customWidth="1"/>
    <col min="6" max="6" width="9.28515625" style="8" customWidth="1"/>
    <col min="7" max="7" width="9.7109375" style="8" customWidth="1"/>
    <col min="8" max="8" width="15.7109375" style="8" customWidth="1"/>
    <col min="9" max="9" width="15.85546875" style="8" customWidth="1"/>
    <col min="10" max="16384" width="9" style="8"/>
  </cols>
  <sheetData>
    <row r="1" spans="2:10" s="1" customFormat="1" ht="44.1" customHeight="1">
      <c r="B1" s="56" t="s">
        <v>0</v>
      </c>
      <c r="C1" s="56"/>
      <c r="D1" s="56"/>
      <c r="E1" s="56"/>
      <c r="F1" s="57"/>
      <c r="G1" s="57"/>
      <c r="H1" s="57"/>
      <c r="I1" s="57"/>
    </row>
    <row r="2" spans="2:10" s="1" customFormat="1" ht="21.75" customHeight="1">
      <c r="B2" s="58" t="s">
        <v>1</v>
      </c>
      <c r="C2" s="58"/>
      <c r="D2" s="58"/>
      <c r="E2" s="58"/>
      <c r="F2" s="58"/>
      <c r="G2" s="58"/>
      <c r="H2" s="58"/>
      <c r="I2" s="58"/>
    </row>
    <row r="3" spans="2:10" s="1" customFormat="1" ht="16.5" customHeight="1">
      <c r="E3" s="2" t="s">
        <v>2</v>
      </c>
      <c r="F3" s="3" t="s">
        <v>3</v>
      </c>
      <c r="G3" s="2"/>
      <c r="H3" s="2"/>
      <c r="I3" s="2"/>
    </row>
    <row r="4" spans="2:10" s="1" customFormat="1" ht="12.75" customHeight="1">
      <c r="E4" s="4" t="s">
        <v>4</v>
      </c>
      <c r="F4" s="1" t="s">
        <v>5</v>
      </c>
    </row>
    <row r="5" spans="2:10" s="1" customFormat="1" ht="27" customHeight="1">
      <c r="B5" s="54" t="s">
        <v>49</v>
      </c>
      <c r="E5" s="59" t="s">
        <v>46</v>
      </c>
      <c r="F5" s="59"/>
      <c r="G5" s="59"/>
      <c r="H5" s="59"/>
      <c r="I5" s="59"/>
    </row>
    <row r="6" spans="2:10" s="1" customFormat="1" ht="12" customHeight="1">
      <c r="B6" s="4" t="s">
        <v>6</v>
      </c>
      <c r="C6" s="4"/>
      <c r="D6" s="5"/>
      <c r="E6" s="6" t="s">
        <v>7</v>
      </c>
    </row>
    <row r="7" spans="2:10" ht="14.25" customHeight="1">
      <c r="B7" s="4" t="s">
        <v>8</v>
      </c>
      <c r="C7" s="4"/>
      <c r="D7" s="7"/>
      <c r="E7" s="4" t="s">
        <v>9</v>
      </c>
      <c r="F7" s="1"/>
      <c r="G7" s="1"/>
      <c r="H7" s="2"/>
      <c r="I7" s="1"/>
    </row>
    <row r="8" spans="2:10" ht="14.25" customHeight="1">
      <c r="B8" s="4" t="s">
        <v>10</v>
      </c>
      <c r="C8" s="4"/>
      <c r="D8" s="7" t="s">
        <v>11</v>
      </c>
      <c r="E8" s="9" t="s">
        <v>12</v>
      </c>
      <c r="F8" s="2"/>
      <c r="G8" s="9" t="s">
        <v>13</v>
      </c>
      <c r="H8" s="10"/>
    </row>
    <row r="9" spans="2:10" ht="12.75" customHeight="1">
      <c r="B9" s="4" t="s">
        <v>14</v>
      </c>
      <c r="C9" s="4"/>
      <c r="D9" s="6" t="s">
        <v>15</v>
      </c>
    </row>
    <row r="10" spans="2:10" ht="14.25" customHeight="1">
      <c r="B10" s="9" t="s">
        <v>16</v>
      </c>
      <c r="C10" s="9"/>
      <c r="D10" s="11"/>
      <c r="E10" s="2" t="s">
        <v>17</v>
      </c>
      <c r="F10" s="3" t="s">
        <v>18</v>
      </c>
      <c r="G10" s="2"/>
      <c r="H10" s="2"/>
      <c r="I10" s="3"/>
    </row>
    <row r="11" spans="2:10" ht="24.75" customHeight="1">
      <c r="B11" s="9" t="s">
        <v>19</v>
      </c>
      <c r="C11" s="9"/>
      <c r="D11" s="12" t="s">
        <v>20</v>
      </c>
      <c r="E11" s="4" t="s">
        <v>21</v>
      </c>
      <c r="F11" s="1"/>
      <c r="G11" s="1"/>
      <c r="H11" s="1"/>
      <c r="I11" s="1"/>
    </row>
    <row r="12" spans="2:10" ht="13.5" customHeight="1">
      <c r="B12" s="9" t="s">
        <v>22</v>
      </c>
      <c r="C12" s="9"/>
      <c r="E12" s="4" t="s">
        <v>23</v>
      </c>
      <c r="F12" s="1"/>
      <c r="G12" s="4"/>
      <c r="H12" s="1"/>
      <c r="I12" s="1"/>
    </row>
    <row r="13" spans="2:10" ht="13.5" customHeight="1">
      <c r="B13" s="9"/>
      <c r="C13" s="9"/>
      <c r="E13" s="4" t="s">
        <v>24</v>
      </c>
      <c r="F13" s="1"/>
      <c r="G13" s="49" t="s">
        <v>47</v>
      </c>
      <c r="H13" s="50" t="s">
        <v>48</v>
      </c>
      <c r="I13" s="1"/>
    </row>
    <row r="14" spans="2:10" ht="21" customHeight="1">
      <c r="B14" s="13" t="s">
        <v>25</v>
      </c>
      <c r="C14" s="13" t="s">
        <v>26</v>
      </c>
      <c r="D14" s="13" t="s">
        <v>27</v>
      </c>
      <c r="E14" s="51" t="s">
        <v>28</v>
      </c>
      <c r="F14" s="13" t="s">
        <v>29</v>
      </c>
      <c r="G14" s="13" t="s">
        <v>30</v>
      </c>
      <c r="H14" s="14" t="s">
        <v>31</v>
      </c>
      <c r="I14" s="14" t="s">
        <v>32</v>
      </c>
      <c r="J14" s="15"/>
    </row>
    <row r="15" spans="2:10" s="22" customFormat="1" ht="84" customHeight="1">
      <c r="B15" s="16"/>
      <c r="C15" s="17"/>
      <c r="D15" s="18"/>
      <c r="E15" s="52"/>
      <c r="F15" s="19"/>
      <c r="G15" s="19"/>
      <c r="H15" s="20"/>
      <c r="I15" s="20"/>
      <c r="J15" s="21"/>
    </row>
    <row r="16" spans="2:10" s="22" customFormat="1" ht="63" customHeight="1">
      <c r="B16" s="16"/>
      <c r="C16" s="17"/>
      <c r="D16" s="18"/>
      <c r="E16" s="52"/>
      <c r="F16" s="19"/>
      <c r="G16" s="19"/>
      <c r="H16" s="20"/>
      <c r="I16" s="20"/>
      <c r="J16" s="21"/>
    </row>
    <row r="17" spans="2:18" s="22" customFormat="1" ht="63" customHeight="1">
      <c r="B17" s="16"/>
      <c r="C17" s="17"/>
      <c r="D17" s="18"/>
      <c r="E17" s="53"/>
      <c r="F17" s="19"/>
      <c r="G17" s="19"/>
      <c r="H17" s="20"/>
      <c r="I17" s="20"/>
      <c r="J17" s="21"/>
    </row>
    <row r="18" spans="2:18" s="22" customFormat="1" ht="62.25" customHeight="1">
      <c r="B18" s="16"/>
      <c r="C18" s="17"/>
      <c r="D18" s="18"/>
      <c r="E18" s="53"/>
      <c r="F18" s="19"/>
      <c r="G18" s="19"/>
      <c r="H18" s="20"/>
      <c r="I18" s="20"/>
      <c r="J18" s="21"/>
      <c r="N18" s="23"/>
    </row>
    <row r="19" spans="2:18" s="22" customFormat="1" ht="62.25" customHeight="1">
      <c r="B19" s="16"/>
      <c r="C19" s="17"/>
      <c r="D19" s="18"/>
      <c r="E19" s="53"/>
      <c r="F19" s="19"/>
      <c r="G19" s="19"/>
      <c r="H19" s="20"/>
      <c r="I19" s="20"/>
      <c r="J19" s="21"/>
      <c r="N19" s="23"/>
    </row>
    <row r="20" spans="2:18" s="22" customFormat="1" ht="62.25" customHeight="1">
      <c r="B20" s="16"/>
      <c r="C20" s="17"/>
      <c r="D20" s="18"/>
      <c r="E20" s="53"/>
      <c r="F20" s="19"/>
      <c r="G20" s="19"/>
      <c r="H20" s="20"/>
      <c r="I20" s="20"/>
      <c r="J20" s="21"/>
      <c r="N20" s="23"/>
    </row>
    <row r="21" spans="2:18" s="22" customFormat="1" ht="68.25" customHeight="1">
      <c r="B21" s="16"/>
      <c r="C21" s="17"/>
      <c r="D21" s="18"/>
      <c r="E21" s="53"/>
      <c r="F21" s="19"/>
      <c r="G21" s="19"/>
      <c r="H21" s="20"/>
      <c r="I21" s="20"/>
      <c r="J21" s="21"/>
    </row>
    <row r="22" spans="2:18" s="22" customFormat="1" ht="78.75" customHeight="1">
      <c r="B22" s="16"/>
      <c r="C22" s="24"/>
      <c r="D22" s="18"/>
      <c r="E22" s="53"/>
      <c r="F22" s="19"/>
      <c r="G22" s="19"/>
      <c r="H22" s="20"/>
      <c r="I22" s="20"/>
      <c r="J22" s="21"/>
    </row>
    <row r="23" spans="2:18" s="22" customFormat="1" ht="21.75" customHeight="1">
      <c r="B23" s="16"/>
      <c r="C23" s="24"/>
      <c r="D23" s="18"/>
      <c r="E23" s="53"/>
      <c r="F23" s="19"/>
      <c r="G23" s="19"/>
      <c r="H23" s="20"/>
      <c r="I23" s="20"/>
      <c r="J23" s="21"/>
      <c r="O23" s="25"/>
      <c r="P23" s="25"/>
      <c r="Q23" s="25"/>
      <c r="R23" s="25"/>
    </row>
    <row r="24" spans="2:18" s="28" customFormat="1" ht="20.100000000000001" customHeight="1">
      <c r="B24" s="26" t="s">
        <v>33</v>
      </c>
      <c r="C24" s="26"/>
      <c r="D24" s="26"/>
      <c r="E24" s="26"/>
      <c r="F24" s="45" t="s">
        <v>34</v>
      </c>
      <c r="G24" s="46"/>
      <c r="H24" s="47" t="s">
        <v>35</v>
      </c>
      <c r="I24" s="47">
        <f>SUM(I15:I23)</f>
        <v>0</v>
      </c>
      <c r="J24" s="27"/>
      <c r="O24" s="29"/>
      <c r="P24" s="29"/>
      <c r="Q24" s="29"/>
      <c r="R24" s="29"/>
    </row>
    <row r="25" spans="2:18" s="28" customFormat="1" ht="20.100000000000001" customHeight="1">
      <c r="B25" s="30"/>
      <c r="C25" s="30"/>
      <c r="D25" s="30"/>
      <c r="E25" s="30"/>
      <c r="F25" s="60"/>
      <c r="G25" s="60"/>
      <c r="H25" s="60"/>
      <c r="I25" s="48"/>
      <c r="J25" s="27"/>
      <c r="O25" s="29"/>
      <c r="P25" s="29"/>
      <c r="Q25" s="29"/>
      <c r="R25" s="29"/>
    </row>
    <row r="26" spans="2:18" s="28" customFormat="1" ht="20.100000000000001" customHeight="1">
      <c r="B26" s="30"/>
      <c r="C26" s="30"/>
      <c r="D26" s="30"/>
      <c r="E26" s="30"/>
      <c r="F26" s="60"/>
      <c r="G26" s="60"/>
      <c r="H26" s="60"/>
      <c r="I26" s="48"/>
      <c r="J26" s="27"/>
      <c r="O26" s="29"/>
      <c r="P26" s="29"/>
      <c r="Q26" s="29"/>
      <c r="R26" s="29"/>
    </row>
    <row r="27" spans="2:18" s="32" customFormat="1" ht="16.5" customHeight="1">
      <c r="B27" s="31" t="s">
        <v>36</v>
      </c>
      <c r="C27" s="31"/>
      <c r="D27" s="31"/>
      <c r="E27" s="3"/>
      <c r="I27" s="33"/>
      <c r="O27" s="34"/>
      <c r="P27" s="34"/>
      <c r="Q27" s="34"/>
      <c r="R27" s="34"/>
    </row>
    <row r="28" spans="2:18" s="35" customFormat="1" ht="15.75" customHeight="1">
      <c r="B28" s="35" t="s">
        <v>37</v>
      </c>
      <c r="C28" s="36"/>
      <c r="I28" s="37"/>
    </row>
    <row r="29" spans="2:18" s="32" customFormat="1" ht="15" customHeight="1">
      <c r="B29" s="31" t="s">
        <v>38</v>
      </c>
      <c r="C29" s="31"/>
      <c r="D29" s="31"/>
      <c r="E29" s="3"/>
      <c r="I29" s="33"/>
    </row>
    <row r="30" spans="2:18" s="38" customFormat="1" ht="13.5" customHeight="1">
      <c r="B30" s="38" t="s">
        <v>39</v>
      </c>
      <c r="C30" s="39"/>
      <c r="I30" s="40"/>
    </row>
    <row r="31" spans="2:18" s="38" customFormat="1" ht="13.5" customHeight="1">
      <c r="B31" s="38" t="s">
        <v>40</v>
      </c>
      <c r="C31" s="39"/>
      <c r="D31" s="41"/>
      <c r="I31" s="40"/>
    </row>
    <row r="32" spans="2:18" s="38" customFormat="1" ht="13.5" customHeight="1">
      <c r="B32" s="38" t="s">
        <v>41</v>
      </c>
      <c r="C32" s="39"/>
      <c r="I32" s="40"/>
    </row>
    <row r="33" spans="2:9" s="38" customFormat="1" ht="13.5" customHeight="1">
      <c r="B33" s="38" t="s">
        <v>42</v>
      </c>
      <c r="C33" s="39"/>
      <c r="I33" s="40"/>
    </row>
    <row r="34" spans="2:9" s="38" customFormat="1" ht="13.5" customHeight="1">
      <c r="B34" s="38" t="s">
        <v>43</v>
      </c>
      <c r="C34" s="39"/>
      <c r="I34" s="40"/>
    </row>
    <row r="35" spans="2:9" ht="16.5" customHeight="1">
      <c r="C35" s="8" t="s">
        <v>44</v>
      </c>
      <c r="G35" s="8" t="s">
        <v>45</v>
      </c>
    </row>
    <row r="36" spans="2:9" ht="18" customHeight="1">
      <c r="C36" s="42"/>
      <c r="E36" s="42"/>
      <c r="G36" s="55" t="s">
        <v>5</v>
      </c>
      <c r="H36" s="55"/>
    </row>
    <row r="37" spans="2:9" ht="19.5" customHeight="1">
      <c r="C37" s="43" t="str">
        <f>F10</f>
        <v>Comercial TSA ltda</v>
      </c>
      <c r="D37" s="9"/>
      <c r="E37" s="9"/>
      <c r="F37" s="9"/>
      <c r="G37" s="9" t="str">
        <f>F3</f>
        <v>SHENZHEN AMB TECHNOLOGY CO.,LTD.</v>
      </c>
    </row>
    <row r="39" spans="2:9" ht="20.100000000000001" customHeight="1">
      <c r="H39" s="44"/>
    </row>
  </sheetData>
  <mergeCells count="7">
    <mergeCell ref="G36:H36"/>
    <mergeCell ref="B1:E1"/>
    <mergeCell ref="F1:I1"/>
    <mergeCell ref="B2:I2"/>
    <mergeCell ref="E5:I5"/>
    <mergeCell ref="F25:H25"/>
    <mergeCell ref="F26:H26"/>
  </mergeCells>
  <printOptions horizontalCentered="1"/>
  <pageMargins left="0.39370078740157483" right="0.19684930008748908" top="0" bottom="0" header="0" footer="0"/>
  <pageSetup paperSize="9" scale="81" fitToHeight="0" orientation="portrait" horizontalDpi="1200" verticalDpi="1200" r:id="rId1"/>
  <headerFooter alignWithMargins="0">
    <oddFooter>&amp;L&amp;"Calibri"&amp;9www.szamb.com&amp;R&amp;"Calibri"&amp;9Page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UARDARszAMBLED">
                <anchor moveWithCells="1">
                  <from>
                    <xdr:col>9</xdr:col>
                    <xdr:colOff>133350</xdr:colOff>
                    <xdr:row>0</xdr:row>
                    <xdr:rowOff>200025</xdr:rowOff>
                  </from>
                  <to>
                    <xdr:col>10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4E099-826F-478D-B69A-F90BF437BADC}">
  <sheetPr codeName="Hoja2">
    <pageSetUpPr fitToPage="1"/>
  </sheetPr>
  <dimension ref="B1:R44"/>
  <sheetViews>
    <sheetView showGridLines="0" tabSelected="1" view="pageBreakPreview" topLeftCell="A10" zoomScale="90" zoomScaleSheetLayoutView="90" workbookViewId="0">
      <selection activeCell="D23" sqref="D23"/>
    </sheetView>
  </sheetViews>
  <sheetFormatPr baseColWidth="10" defaultColWidth="9" defaultRowHeight="20.100000000000001" customHeight="1"/>
  <cols>
    <col min="1" max="1" width="9" style="8"/>
    <col min="2" max="2" width="4.7109375" style="8" customWidth="1"/>
    <col min="3" max="3" width="11.140625" style="8" customWidth="1"/>
    <col min="4" max="4" width="31.7109375" style="8" customWidth="1"/>
    <col min="5" max="5" width="22.42578125" style="8" customWidth="1"/>
    <col min="6" max="6" width="9.28515625" style="8" customWidth="1"/>
    <col min="7" max="7" width="9.7109375" style="8" customWidth="1"/>
    <col min="8" max="8" width="15.7109375" style="8" customWidth="1"/>
    <col min="9" max="9" width="15.85546875" style="8" customWidth="1"/>
    <col min="10" max="10" width="11.85546875" style="75" bestFit="1" customWidth="1"/>
    <col min="11" max="16384" width="9" style="8"/>
  </cols>
  <sheetData>
    <row r="1" spans="2:11" s="1" customFormat="1" ht="44.1" customHeight="1">
      <c r="B1" s="56" t="s">
        <v>0</v>
      </c>
      <c r="C1" s="56"/>
      <c r="D1" s="56"/>
      <c r="E1" s="56"/>
      <c r="F1" s="57"/>
      <c r="G1" s="57"/>
      <c r="H1" s="57"/>
      <c r="I1" s="57"/>
      <c r="J1" s="74"/>
    </row>
    <row r="2" spans="2:11" s="1" customFormat="1" ht="21.75" customHeight="1">
      <c r="B2" s="58" t="s">
        <v>1</v>
      </c>
      <c r="C2" s="58"/>
      <c r="D2" s="58"/>
      <c r="E2" s="58"/>
      <c r="F2" s="58"/>
      <c r="G2" s="58"/>
      <c r="H2" s="58"/>
      <c r="I2" s="58"/>
      <c r="J2" s="74"/>
    </row>
    <row r="3" spans="2:11" s="1" customFormat="1" ht="16.5" customHeight="1">
      <c r="E3" s="2" t="s">
        <v>2</v>
      </c>
      <c r="F3" s="3" t="s">
        <v>3</v>
      </c>
      <c r="G3" s="2"/>
      <c r="H3" s="2"/>
      <c r="I3" s="2"/>
      <c r="J3" s="74"/>
    </row>
    <row r="4" spans="2:11" s="1" customFormat="1" ht="12.75" customHeight="1">
      <c r="E4" s="4" t="s">
        <v>4</v>
      </c>
      <c r="F4" s="1" t="s">
        <v>5</v>
      </c>
      <c r="J4" s="74"/>
    </row>
    <row r="5" spans="2:11" s="1" customFormat="1" ht="27" customHeight="1">
      <c r="B5" s="54" t="s">
        <v>49</v>
      </c>
      <c r="D5" s="1" t="s">
        <v>64</v>
      </c>
      <c r="E5" s="59" t="s">
        <v>46</v>
      </c>
      <c r="F5" s="59"/>
      <c r="G5" s="59"/>
      <c r="H5" s="59"/>
      <c r="I5" s="59"/>
      <c r="J5" s="74"/>
    </row>
    <row r="6" spans="2:11" s="1" customFormat="1" ht="12" customHeight="1">
      <c r="B6" s="4" t="s">
        <v>6</v>
      </c>
      <c r="C6" s="4"/>
      <c r="D6" s="5">
        <f ca="1">TODAY()</f>
        <v>45317</v>
      </c>
      <c r="E6" s="6" t="s">
        <v>7</v>
      </c>
      <c r="J6" s="74"/>
    </row>
    <row r="7" spans="2:11" ht="14.25" customHeight="1">
      <c r="B7" s="4" t="s">
        <v>8</v>
      </c>
      <c r="C7" s="4"/>
      <c r="D7" s="73" t="s">
        <v>65</v>
      </c>
      <c r="E7" s="4" t="s">
        <v>9</v>
      </c>
      <c r="F7" s="1"/>
      <c r="G7" s="1"/>
      <c r="H7" s="2"/>
      <c r="I7" s="1"/>
    </row>
    <row r="8" spans="2:11" ht="14.25" customHeight="1">
      <c r="B8" s="4" t="s">
        <v>10</v>
      </c>
      <c r="C8" s="4"/>
      <c r="D8" s="7" t="s">
        <v>11</v>
      </c>
      <c r="E8" s="9" t="s">
        <v>12</v>
      </c>
      <c r="F8" s="2"/>
      <c r="G8" s="9" t="s">
        <v>13</v>
      </c>
      <c r="H8" s="10"/>
    </row>
    <row r="9" spans="2:11" ht="12.75" customHeight="1">
      <c r="B9" s="4" t="s">
        <v>14</v>
      </c>
      <c r="C9" s="4"/>
      <c r="D9" s="6" t="s">
        <v>15</v>
      </c>
    </row>
    <row r="10" spans="2:11" ht="14.25" customHeight="1">
      <c r="B10" s="9" t="s">
        <v>16</v>
      </c>
      <c r="C10" s="9"/>
      <c r="D10" s="11"/>
      <c r="E10" s="2" t="s">
        <v>17</v>
      </c>
      <c r="F10" s="3" t="s">
        <v>18</v>
      </c>
      <c r="G10" s="2"/>
      <c r="H10" s="2"/>
      <c r="I10" s="3"/>
    </row>
    <row r="11" spans="2:11" ht="24.75" customHeight="1">
      <c r="B11" s="9" t="s">
        <v>19</v>
      </c>
      <c r="C11" s="9"/>
      <c r="D11" s="12" t="s">
        <v>20</v>
      </c>
      <c r="E11" s="4" t="s">
        <v>21</v>
      </c>
      <c r="F11" s="1"/>
      <c r="G11" s="1"/>
      <c r="H11" s="1"/>
      <c r="I11" s="1"/>
    </row>
    <row r="12" spans="2:11" ht="13.5" customHeight="1">
      <c r="B12" s="9" t="s">
        <v>22</v>
      </c>
      <c r="C12" s="9"/>
      <c r="E12" s="4" t="s">
        <v>23</v>
      </c>
      <c r="F12" s="1"/>
      <c r="G12" s="4"/>
      <c r="H12" s="1"/>
      <c r="I12" s="1"/>
    </row>
    <row r="13" spans="2:11" ht="13.5" customHeight="1">
      <c r="B13" s="9"/>
      <c r="C13" s="9"/>
      <c r="E13" s="4" t="s">
        <v>66</v>
      </c>
      <c r="F13" s="1"/>
      <c r="G13" s="49" t="s">
        <v>47</v>
      </c>
      <c r="H13" s="50" t="s">
        <v>48</v>
      </c>
      <c r="I13" s="1"/>
    </row>
    <row r="14" spans="2:11" ht="21" customHeight="1">
      <c r="B14" s="13" t="s">
        <v>25</v>
      </c>
      <c r="C14" s="13" t="s">
        <v>26</v>
      </c>
      <c r="D14" s="13" t="s">
        <v>27</v>
      </c>
      <c r="E14" s="51" t="s">
        <v>28</v>
      </c>
      <c r="F14" s="13" t="s">
        <v>29</v>
      </c>
      <c r="G14" s="13" t="s">
        <v>30</v>
      </c>
      <c r="H14" s="14" t="s">
        <v>31</v>
      </c>
      <c r="I14" s="14" t="s">
        <v>32</v>
      </c>
      <c r="J14" s="76"/>
    </row>
    <row r="15" spans="2:11" s="22" customFormat="1" ht="60" customHeight="1">
      <c r="B15" s="64">
        <v>1</v>
      </c>
      <c r="C15" s="62" t="s">
        <v>52</v>
      </c>
      <c r="D15" s="71" t="s">
        <v>51</v>
      </c>
      <c r="E15" s="65"/>
      <c r="F15" s="66" t="s">
        <v>50</v>
      </c>
      <c r="G15" s="66">
        <v>33</v>
      </c>
      <c r="H15" s="61">
        <v>25</v>
      </c>
      <c r="I15" s="61">
        <f>G15*H15</f>
        <v>825</v>
      </c>
      <c r="J15" s="77"/>
      <c r="K15" s="63"/>
    </row>
    <row r="16" spans="2:11" s="22" customFormat="1" ht="63" customHeight="1">
      <c r="B16" s="64"/>
      <c r="C16" s="62"/>
      <c r="D16" s="71"/>
      <c r="E16" s="67"/>
      <c r="F16" s="66"/>
      <c r="G16" s="66"/>
      <c r="H16" s="61"/>
      <c r="I16" s="61"/>
      <c r="J16" s="77"/>
      <c r="K16" s="63"/>
    </row>
    <row r="17" spans="2:18" s="22" customFormat="1" ht="63" customHeight="1">
      <c r="B17" s="64"/>
      <c r="C17" s="62"/>
      <c r="D17" s="71"/>
      <c r="E17" s="53"/>
      <c r="F17" s="66"/>
      <c r="G17" s="66"/>
      <c r="H17" s="61"/>
      <c r="I17" s="61"/>
      <c r="J17" s="77"/>
      <c r="K17" s="63"/>
    </row>
    <row r="18" spans="2:18" s="22" customFormat="1" ht="62.25" customHeight="1">
      <c r="B18" s="64"/>
      <c r="C18" s="62"/>
      <c r="D18" s="71"/>
      <c r="E18" s="53"/>
      <c r="F18" s="66"/>
      <c r="G18" s="66"/>
      <c r="H18" s="61"/>
      <c r="I18" s="61"/>
      <c r="J18" s="77"/>
      <c r="K18" s="63"/>
      <c r="N18" s="23"/>
    </row>
    <row r="19" spans="2:18" s="22" customFormat="1" ht="51" customHeight="1">
      <c r="B19" s="64"/>
      <c r="C19" s="62"/>
      <c r="D19" s="71"/>
      <c r="E19" s="53"/>
      <c r="F19" s="66"/>
      <c r="G19" s="66"/>
      <c r="H19" s="61"/>
      <c r="I19" s="61"/>
      <c r="J19" s="77"/>
      <c r="K19" s="63"/>
      <c r="N19" s="23"/>
    </row>
    <row r="20" spans="2:18" s="22" customFormat="1" ht="62.25" customHeight="1">
      <c r="B20" s="43">
        <v>2</v>
      </c>
      <c r="C20" s="17" t="s">
        <v>53</v>
      </c>
      <c r="D20" s="18" t="s">
        <v>54</v>
      </c>
      <c r="E20" s="67"/>
      <c r="F20" s="68" t="s">
        <v>50</v>
      </c>
      <c r="G20" s="68">
        <v>1</v>
      </c>
      <c r="H20" s="20">
        <v>9.25</v>
      </c>
      <c r="I20" s="72">
        <f>G20*H20</f>
        <v>9.25</v>
      </c>
      <c r="J20" s="78"/>
      <c r="N20" s="23"/>
    </row>
    <row r="21" spans="2:18" s="22" customFormat="1" ht="81" customHeight="1">
      <c r="B21" s="43">
        <v>3</v>
      </c>
      <c r="C21" s="17" t="s">
        <v>69</v>
      </c>
      <c r="D21" s="18" t="s">
        <v>70</v>
      </c>
      <c r="E21" s="53"/>
      <c r="F21" s="68" t="s">
        <v>50</v>
      </c>
      <c r="G21" s="68">
        <v>30</v>
      </c>
      <c r="H21" s="20">
        <v>8.1560000000000006</v>
      </c>
      <c r="I21" s="72">
        <f t="shared" ref="I21:I26" si="0">G21*H21</f>
        <v>244.68</v>
      </c>
      <c r="J21" s="78"/>
    </row>
    <row r="22" spans="2:18" s="22" customFormat="1" ht="81" customHeight="1">
      <c r="B22" s="43">
        <v>4</v>
      </c>
      <c r="C22" s="69" t="s">
        <v>71</v>
      </c>
      <c r="D22" s="18" t="s">
        <v>68</v>
      </c>
      <c r="E22" s="53"/>
      <c r="F22" s="68" t="s">
        <v>67</v>
      </c>
      <c r="G22" s="68">
        <v>3</v>
      </c>
      <c r="H22" s="20">
        <v>2.58</v>
      </c>
      <c r="I22" s="72">
        <f>G22*H22</f>
        <v>7.74</v>
      </c>
      <c r="J22" s="78"/>
    </row>
    <row r="23" spans="2:18" s="22" customFormat="1" ht="78.75" customHeight="1">
      <c r="B23" s="43">
        <v>5</v>
      </c>
      <c r="C23" s="69" t="s">
        <v>55</v>
      </c>
      <c r="D23" s="18" t="s">
        <v>56</v>
      </c>
      <c r="E23" s="53"/>
      <c r="F23" s="68" t="s">
        <v>50</v>
      </c>
      <c r="G23" s="68">
        <v>2</v>
      </c>
      <c r="H23" s="20">
        <v>8.9599999999999991</v>
      </c>
      <c r="I23" s="72">
        <f t="shared" si="0"/>
        <v>17.919999999999998</v>
      </c>
      <c r="J23" s="78"/>
    </row>
    <row r="24" spans="2:18" s="22" customFormat="1" ht="91.5" customHeight="1">
      <c r="B24" s="43">
        <v>6</v>
      </c>
      <c r="C24" s="69" t="s">
        <v>57</v>
      </c>
      <c r="D24" s="18" t="s">
        <v>58</v>
      </c>
      <c r="E24" s="53"/>
      <c r="F24" s="68" t="s">
        <v>50</v>
      </c>
      <c r="G24" s="68">
        <v>1</v>
      </c>
      <c r="H24" s="20">
        <v>9.25</v>
      </c>
      <c r="I24" s="72">
        <f t="shared" si="0"/>
        <v>9.25</v>
      </c>
      <c r="J24" s="78"/>
    </row>
    <row r="25" spans="2:18" s="22" customFormat="1" ht="78.75" customHeight="1">
      <c r="B25" s="43">
        <v>7</v>
      </c>
      <c r="C25" s="69"/>
      <c r="D25" s="18" t="s">
        <v>59</v>
      </c>
      <c r="E25" s="53"/>
      <c r="F25" s="68" t="s">
        <v>50</v>
      </c>
      <c r="G25" s="68">
        <v>3</v>
      </c>
      <c r="H25" s="20">
        <v>4.5</v>
      </c>
      <c r="I25" s="72">
        <f t="shared" si="0"/>
        <v>13.5</v>
      </c>
      <c r="J25" s="78"/>
    </row>
    <row r="26" spans="2:18" s="22" customFormat="1" ht="78.75" customHeight="1">
      <c r="B26" s="70">
        <v>8</v>
      </c>
      <c r="C26" s="69" t="s">
        <v>60</v>
      </c>
      <c r="D26" s="18" t="s">
        <v>61</v>
      </c>
      <c r="E26" s="53"/>
      <c r="F26" s="68" t="s">
        <v>50</v>
      </c>
      <c r="G26" s="68">
        <v>1</v>
      </c>
      <c r="H26" s="20">
        <v>344.25</v>
      </c>
      <c r="I26" s="72">
        <f t="shared" si="0"/>
        <v>344.25</v>
      </c>
      <c r="J26" s="78"/>
    </row>
    <row r="27" spans="2:18" s="22" customFormat="1" ht="32.25" customHeight="1">
      <c r="B27" s="70">
        <v>9</v>
      </c>
      <c r="C27" s="69" t="s">
        <v>62</v>
      </c>
      <c r="D27" s="18" t="s">
        <v>15</v>
      </c>
      <c r="E27" s="53"/>
      <c r="F27" s="68" t="s">
        <v>63</v>
      </c>
      <c r="G27" s="68">
        <v>1</v>
      </c>
      <c r="H27" s="20"/>
      <c r="I27" s="20"/>
      <c r="J27" s="78"/>
    </row>
    <row r="28" spans="2:18" s="22" customFormat="1" ht="21.75" customHeight="1">
      <c r="B28" s="16"/>
      <c r="C28" s="24"/>
      <c r="D28" s="18"/>
      <c r="E28" s="53"/>
      <c r="F28" s="19"/>
      <c r="G28" s="19"/>
      <c r="H28" s="20"/>
      <c r="I28" s="20"/>
      <c r="J28" s="78"/>
      <c r="O28" s="25"/>
      <c r="P28" s="25"/>
      <c r="Q28" s="25"/>
      <c r="R28" s="25"/>
    </row>
    <row r="29" spans="2:18" s="28" customFormat="1" ht="20.100000000000001" customHeight="1">
      <c r="B29" s="26" t="s">
        <v>33</v>
      </c>
      <c r="C29" s="26"/>
      <c r="D29" s="26"/>
      <c r="E29" s="26"/>
      <c r="F29" s="45" t="s">
        <v>34</v>
      </c>
      <c r="G29" s="46"/>
      <c r="H29" s="47" t="s">
        <v>35</v>
      </c>
      <c r="I29" s="47">
        <f>SUM(I15:I28)</f>
        <v>1471.5900000000001</v>
      </c>
      <c r="J29" s="78"/>
      <c r="O29" s="29"/>
      <c r="P29" s="29"/>
      <c r="Q29" s="29"/>
      <c r="R29" s="29"/>
    </row>
    <row r="30" spans="2:18" s="28" customFormat="1" ht="20.100000000000001" customHeight="1">
      <c r="B30" s="30"/>
      <c r="C30" s="30"/>
      <c r="D30" s="30"/>
      <c r="E30" s="30"/>
      <c r="F30" s="60"/>
      <c r="G30" s="60"/>
      <c r="H30" s="60"/>
      <c r="I30" s="48"/>
      <c r="J30" s="79"/>
      <c r="O30" s="29"/>
      <c r="P30" s="29"/>
      <c r="Q30" s="29"/>
      <c r="R30" s="29"/>
    </row>
    <row r="31" spans="2:18" s="28" customFormat="1" ht="20.100000000000001" customHeight="1">
      <c r="B31" s="30"/>
      <c r="C31" s="30"/>
      <c r="D31" s="30"/>
      <c r="E31" s="30"/>
      <c r="F31" s="60"/>
      <c r="G31" s="60"/>
      <c r="H31" s="60"/>
      <c r="I31" s="48"/>
      <c r="J31" s="79"/>
      <c r="O31" s="29"/>
      <c r="P31" s="29"/>
      <c r="Q31" s="29"/>
      <c r="R31" s="29"/>
    </row>
    <row r="32" spans="2:18" s="32" customFormat="1" ht="16.5" customHeight="1">
      <c r="B32" s="31" t="s">
        <v>36</v>
      </c>
      <c r="C32" s="31"/>
      <c r="D32" s="31"/>
      <c r="E32" s="3"/>
      <c r="I32" s="33"/>
      <c r="J32" s="80"/>
      <c r="O32" s="34"/>
      <c r="P32" s="34"/>
      <c r="Q32" s="34"/>
      <c r="R32" s="34"/>
    </row>
    <row r="33" spans="2:10" s="35" customFormat="1" ht="15.75" customHeight="1">
      <c r="B33" s="35" t="s">
        <v>37</v>
      </c>
      <c r="C33" s="36"/>
      <c r="I33" s="37"/>
      <c r="J33" s="81"/>
    </row>
    <row r="34" spans="2:10" s="32" customFormat="1" ht="15" customHeight="1">
      <c r="B34" s="31" t="s">
        <v>38</v>
      </c>
      <c r="C34" s="31"/>
      <c r="D34" s="31"/>
      <c r="E34" s="3"/>
      <c r="I34" s="33"/>
      <c r="J34" s="80"/>
    </row>
    <row r="35" spans="2:10" s="38" customFormat="1" ht="13.5" customHeight="1">
      <c r="B35" s="38" t="s">
        <v>39</v>
      </c>
      <c r="C35" s="39"/>
      <c r="I35" s="40"/>
      <c r="J35" s="82"/>
    </row>
    <row r="36" spans="2:10" s="38" customFormat="1" ht="13.5" customHeight="1">
      <c r="B36" s="38" t="s">
        <v>40</v>
      </c>
      <c r="C36" s="39"/>
      <c r="D36" s="41"/>
      <c r="I36" s="40"/>
      <c r="J36" s="82"/>
    </row>
    <row r="37" spans="2:10" s="38" customFormat="1" ht="13.5" customHeight="1">
      <c r="B37" s="38" t="s">
        <v>41</v>
      </c>
      <c r="C37" s="39"/>
      <c r="I37" s="40"/>
      <c r="J37" s="82"/>
    </row>
    <row r="38" spans="2:10" s="38" customFormat="1" ht="13.5" customHeight="1">
      <c r="B38" s="38" t="s">
        <v>42</v>
      </c>
      <c r="C38" s="39"/>
      <c r="I38" s="40"/>
      <c r="J38" s="82"/>
    </row>
    <row r="39" spans="2:10" s="38" customFormat="1" ht="13.5" customHeight="1">
      <c r="B39" s="38" t="s">
        <v>43</v>
      </c>
      <c r="C39" s="39"/>
      <c r="I39" s="40"/>
      <c r="J39" s="82"/>
    </row>
    <row r="40" spans="2:10" ht="16.5" customHeight="1">
      <c r="C40" s="8" t="s">
        <v>44</v>
      </c>
      <c r="G40" s="8" t="s">
        <v>45</v>
      </c>
    </row>
    <row r="41" spans="2:10" ht="18" customHeight="1">
      <c r="C41" s="42"/>
      <c r="E41" s="42"/>
      <c r="G41" s="55" t="s">
        <v>5</v>
      </c>
      <c r="H41" s="55"/>
    </row>
    <row r="42" spans="2:10" ht="19.5" customHeight="1">
      <c r="C42" s="43" t="str">
        <f>F10</f>
        <v>Comercial TSA ltda</v>
      </c>
      <c r="D42" s="9"/>
      <c r="E42" s="9"/>
      <c r="F42" s="9"/>
      <c r="G42" s="9" t="str">
        <f>F3</f>
        <v>SHENZHEN AMB TECHNOLOGY CO.,LTD.</v>
      </c>
    </row>
    <row r="44" spans="2:10" ht="20.100000000000001" customHeight="1">
      <c r="H44" s="44"/>
    </row>
  </sheetData>
  <mergeCells count="16">
    <mergeCell ref="J15:J19"/>
    <mergeCell ref="K15:K19"/>
    <mergeCell ref="G41:H41"/>
    <mergeCell ref="B1:E1"/>
    <mergeCell ref="F1:I1"/>
    <mergeCell ref="B2:I2"/>
    <mergeCell ref="E5:I5"/>
    <mergeCell ref="F30:H30"/>
    <mergeCell ref="F31:H31"/>
    <mergeCell ref="D15:D19"/>
    <mergeCell ref="F15:F19"/>
    <mergeCell ref="G15:G19"/>
    <mergeCell ref="H15:H19"/>
    <mergeCell ref="I15:I19"/>
    <mergeCell ref="C15:C19"/>
    <mergeCell ref="B15:B19"/>
  </mergeCells>
  <printOptions horizontalCentered="1"/>
  <pageMargins left="0.39370078740157483" right="0.19684930008748908" top="0" bottom="0" header="0" footer="0"/>
  <pageSetup paperSize="9" scale="81" fitToHeight="0" orientation="portrait" horizontalDpi="1200" verticalDpi="1200" r:id="rId1"/>
  <headerFooter alignWithMargins="0">
    <oddFooter>&amp;L&amp;"Calibri"&amp;9www.szamb.com&amp;R&amp;"Calibri"&amp;9Page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ARDARszAMBLED">
                <anchor moveWithCells="1">
                  <from>
                    <xdr:col>9</xdr:col>
                    <xdr:colOff>133350</xdr:colOff>
                    <xdr:row>0</xdr:row>
                    <xdr:rowOff>200025</xdr:rowOff>
                  </from>
                  <to>
                    <xdr:col>10</xdr:col>
                    <xdr:colOff>390525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9F2DD-8845-4698-A19B-323F8B1A9184}">
  <sheetPr codeName="Hoja4">
    <pageSetUpPr fitToPage="1"/>
  </sheetPr>
  <dimension ref="B1:R40"/>
  <sheetViews>
    <sheetView showGridLines="0" view="pageBreakPreview" zoomScale="90" zoomScaleSheetLayoutView="90" workbookViewId="0">
      <selection activeCell="D15" sqref="D15"/>
    </sheetView>
  </sheetViews>
  <sheetFormatPr baseColWidth="10" defaultColWidth="9" defaultRowHeight="20.100000000000001" customHeight="1"/>
  <cols>
    <col min="1" max="1" width="9" style="8"/>
    <col min="2" max="2" width="4.7109375" style="8" customWidth="1"/>
    <col min="3" max="3" width="11.140625" style="8" customWidth="1"/>
    <col min="4" max="4" width="31.7109375" style="8" customWidth="1"/>
    <col min="5" max="5" width="22.42578125" style="8" customWidth="1"/>
    <col min="6" max="6" width="9.28515625" style="8" customWidth="1"/>
    <col min="7" max="7" width="9.7109375" style="8" customWidth="1"/>
    <col min="8" max="8" width="15.7109375" style="8" customWidth="1"/>
    <col min="9" max="9" width="15.85546875" style="8" customWidth="1"/>
    <col min="10" max="16384" width="9" style="8"/>
  </cols>
  <sheetData>
    <row r="1" spans="2:10" s="1" customFormat="1" ht="44.1" customHeight="1">
      <c r="B1" s="56" t="s">
        <v>0</v>
      </c>
      <c r="C1" s="56"/>
      <c r="D1" s="56"/>
      <c r="E1" s="56"/>
      <c r="F1" s="57"/>
      <c r="G1" s="57"/>
      <c r="H1" s="57"/>
      <c r="I1" s="57"/>
    </row>
    <row r="2" spans="2:10" s="1" customFormat="1" ht="21.75" customHeight="1">
      <c r="B2" s="58" t="s">
        <v>1</v>
      </c>
      <c r="C2" s="58"/>
      <c r="D2" s="58"/>
      <c r="E2" s="58"/>
      <c r="F2" s="58"/>
      <c r="G2" s="58"/>
      <c r="H2" s="58"/>
      <c r="I2" s="58"/>
    </row>
    <row r="3" spans="2:10" s="1" customFormat="1" ht="16.5" customHeight="1">
      <c r="E3" s="2" t="s">
        <v>2</v>
      </c>
      <c r="F3" s="3" t="s">
        <v>3</v>
      </c>
      <c r="G3" s="2"/>
      <c r="H3" s="2"/>
      <c r="I3" s="2"/>
    </row>
    <row r="4" spans="2:10" s="1" customFormat="1" ht="12.75" customHeight="1">
      <c r="E4" s="4" t="s">
        <v>4</v>
      </c>
      <c r="F4" s="1" t="s">
        <v>5</v>
      </c>
    </row>
    <row r="5" spans="2:10" s="1" customFormat="1" ht="27" customHeight="1">
      <c r="B5" s="54" t="s">
        <v>49</v>
      </c>
      <c r="E5" s="59" t="s">
        <v>46</v>
      </c>
      <c r="F5" s="59"/>
      <c r="G5" s="59"/>
      <c r="H5" s="59"/>
      <c r="I5" s="59"/>
    </row>
    <row r="6" spans="2:10" s="1" customFormat="1" ht="12" customHeight="1">
      <c r="B6" s="4" t="s">
        <v>6</v>
      </c>
      <c r="C6" s="4"/>
      <c r="D6" s="5"/>
      <c r="E6" s="6" t="s">
        <v>7</v>
      </c>
    </row>
    <row r="7" spans="2:10" ht="14.25" customHeight="1">
      <c r="B7" s="4" t="s">
        <v>8</v>
      </c>
      <c r="C7" s="4"/>
      <c r="D7" s="7"/>
      <c r="E7" s="4" t="s">
        <v>9</v>
      </c>
      <c r="F7" s="1"/>
      <c r="G7" s="1"/>
      <c r="H7" s="2"/>
      <c r="I7" s="1"/>
    </row>
    <row r="8" spans="2:10" ht="14.25" customHeight="1">
      <c r="B8" s="4" t="s">
        <v>10</v>
      </c>
      <c r="C8" s="4"/>
      <c r="D8" s="7" t="s">
        <v>11</v>
      </c>
      <c r="E8" s="9" t="s">
        <v>12</v>
      </c>
      <c r="F8" s="2"/>
      <c r="G8" s="9" t="s">
        <v>13</v>
      </c>
      <c r="H8" s="10"/>
    </row>
    <row r="9" spans="2:10" ht="12.75" customHeight="1">
      <c r="B9" s="4" t="s">
        <v>14</v>
      </c>
      <c r="C9" s="4"/>
      <c r="D9" s="6" t="s">
        <v>15</v>
      </c>
    </row>
    <row r="10" spans="2:10" ht="14.25" customHeight="1">
      <c r="B10" s="9" t="s">
        <v>16</v>
      </c>
      <c r="C10" s="9"/>
      <c r="D10" s="11"/>
      <c r="E10" s="2" t="s">
        <v>17</v>
      </c>
      <c r="F10" s="3" t="s">
        <v>18</v>
      </c>
      <c r="G10" s="2"/>
      <c r="H10" s="2"/>
      <c r="I10" s="3"/>
    </row>
    <row r="11" spans="2:10" ht="24.75" customHeight="1">
      <c r="B11" s="9" t="s">
        <v>19</v>
      </c>
      <c r="C11" s="9"/>
      <c r="D11" s="12" t="s">
        <v>20</v>
      </c>
      <c r="E11" s="4" t="s">
        <v>21</v>
      </c>
      <c r="F11" s="1"/>
      <c r="G11" s="1"/>
      <c r="H11" s="1"/>
      <c r="I11" s="1"/>
    </row>
    <row r="12" spans="2:10" ht="13.5" customHeight="1">
      <c r="B12" s="9" t="s">
        <v>22</v>
      </c>
      <c r="C12" s="9"/>
      <c r="E12" s="4" t="s">
        <v>23</v>
      </c>
      <c r="F12" s="1"/>
      <c r="G12" s="4"/>
      <c r="H12" s="1"/>
      <c r="I12" s="1"/>
    </row>
    <row r="13" spans="2:10" ht="13.5" customHeight="1">
      <c r="B13" s="9"/>
      <c r="C13" s="9"/>
      <c r="E13" s="4" t="s">
        <v>24</v>
      </c>
      <c r="F13" s="1"/>
      <c r="G13" s="49" t="s">
        <v>47</v>
      </c>
      <c r="H13" s="50" t="s">
        <v>48</v>
      </c>
      <c r="I13" s="1"/>
    </row>
    <row r="14" spans="2:10" ht="21" customHeight="1">
      <c r="B14" s="13" t="s">
        <v>25</v>
      </c>
      <c r="C14" s="13" t="s">
        <v>26</v>
      </c>
      <c r="D14" s="13" t="s">
        <v>27</v>
      </c>
      <c r="E14" s="51" t="s">
        <v>28</v>
      </c>
      <c r="F14" s="13" t="s">
        <v>29</v>
      </c>
      <c r="G14" s="13" t="s">
        <v>30</v>
      </c>
      <c r="H14" s="14" t="s">
        <v>31</v>
      </c>
      <c r="I14" s="14" t="s">
        <v>32</v>
      </c>
      <c r="J14" s="15"/>
    </row>
    <row r="15" spans="2:10" s="22" customFormat="1" ht="84" customHeight="1">
      <c r="B15" s="16"/>
      <c r="C15" s="17"/>
      <c r="D15" s="18"/>
      <c r="E15" s="52"/>
      <c r="F15" s="19"/>
      <c r="G15" s="19"/>
      <c r="H15" s="20"/>
      <c r="I15" s="20"/>
      <c r="J15" s="21"/>
    </row>
    <row r="16" spans="2:10" s="22" customFormat="1" ht="84" customHeight="1">
      <c r="B16" s="16"/>
      <c r="C16" s="17"/>
      <c r="D16" s="18"/>
      <c r="E16" s="52"/>
      <c r="F16" s="19"/>
      <c r="G16" s="19"/>
      <c r="H16" s="20"/>
      <c r="I16" s="20"/>
      <c r="J16" s="21"/>
    </row>
    <row r="17" spans="2:18" s="22" customFormat="1" ht="63" customHeight="1">
      <c r="B17" s="16"/>
      <c r="C17" s="17"/>
      <c r="D17" s="18"/>
      <c r="E17" s="52"/>
      <c r="F17" s="19"/>
      <c r="G17" s="19"/>
      <c r="H17" s="20"/>
      <c r="I17" s="20"/>
      <c r="J17" s="21"/>
    </row>
    <row r="18" spans="2:18" s="22" customFormat="1" ht="63" customHeight="1">
      <c r="B18" s="16"/>
      <c r="C18" s="17"/>
      <c r="D18" s="18"/>
      <c r="E18" s="53"/>
      <c r="F18" s="19"/>
      <c r="G18" s="19"/>
      <c r="H18" s="20"/>
      <c r="I18" s="20"/>
      <c r="J18" s="21"/>
    </row>
    <row r="19" spans="2:18" s="22" customFormat="1" ht="62.25" customHeight="1">
      <c r="B19" s="16"/>
      <c r="C19" s="17"/>
      <c r="D19" s="18"/>
      <c r="E19" s="53"/>
      <c r="F19" s="19"/>
      <c r="G19" s="19"/>
      <c r="H19" s="20"/>
      <c r="I19" s="20"/>
      <c r="J19" s="21"/>
      <c r="N19" s="23"/>
    </row>
    <row r="20" spans="2:18" s="22" customFormat="1" ht="62.25" customHeight="1">
      <c r="B20" s="16"/>
      <c r="C20" s="17"/>
      <c r="D20" s="18"/>
      <c r="E20" s="53"/>
      <c r="F20" s="19"/>
      <c r="G20" s="19"/>
      <c r="H20" s="20"/>
      <c r="I20" s="20"/>
      <c r="J20" s="21"/>
      <c r="N20" s="23"/>
    </row>
    <row r="21" spans="2:18" s="22" customFormat="1" ht="62.25" customHeight="1">
      <c r="B21" s="16"/>
      <c r="C21" s="17"/>
      <c r="D21" s="18"/>
      <c r="E21" s="53"/>
      <c r="F21" s="19"/>
      <c r="G21" s="19"/>
      <c r="H21" s="20"/>
      <c r="I21" s="20"/>
      <c r="J21" s="21"/>
      <c r="N21" s="23"/>
    </row>
    <row r="22" spans="2:18" s="22" customFormat="1" ht="68.25" customHeight="1">
      <c r="B22" s="16"/>
      <c r="C22" s="17"/>
      <c r="D22" s="18"/>
      <c r="E22" s="53"/>
      <c r="F22" s="19"/>
      <c r="G22" s="19"/>
      <c r="H22" s="20"/>
      <c r="I22" s="20"/>
      <c r="J22" s="21"/>
    </row>
    <row r="23" spans="2:18" s="22" customFormat="1" ht="78.75" customHeight="1">
      <c r="B23" s="16"/>
      <c r="C23" s="24"/>
      <c r="D23" s="18"/>
      <c r="E23" s="53"/>
      <c r="F23" s="19"/>
      <c r="G23" s="19"/>
      <c r="H23" s="20"/>
      <c r="I23" s="20"/>
      <c r="J23" s="21"/>
    </row>
    <row r="24" spans="2:18" s="22" customFormat="1" ht="21.75" customHeight="1">
      <c r="B24" s="16"/>
      <c r="C24" s="24"/>
      <c r="D24" s="18"/>
      <c r="E24" s="53"/>
      <c r="F24" s="19"/>
      <c r="G24" s="19"/>
      <c r="H24" s="20"/>
      <c r="I24" s="20"/>
      <c r="J24" s="21"/>
      <c r="O24" s="25"/>
      <c r="P24" s="25"/>
      <c r="Q24" s="25"/>
      <c r="R24" s="25"/>
    </row>
    <row r="25" spans="2:18" s="28" customFormat="1" ht="20.100000000000001" customHeight="1">
      <c r="B25" s="26" t="s">
        <v>33</v>
      </c>
      <c r="C25" s="26"/>
      <c r="D25" s="26"/>
      <c r="E25" s="26"/>
      <c r="F25" s="45" t="s">
        <v>34</v>
      </c>
      <c r="G25" s="46"/>
      <c r="H25" s="47" t="s">
        <v>35</v>
      </c>
      <c r="I25" s="47">
        <f>SUM(I15:I24)</f>
        <v>0</v>
      </c>
      <c r="J25" s="27"/>
      <c r="O25" s="29"/>
      <c r="P25" s="29"/>
      <c r="Q25" s="29"/>
      <c r="R25" s="29"/>
    </row>
    <row r="26" spans="2:18" s="28" customFormat="1" ht="20.100000000000001" customHeight="1">
      <c r="B26" s="30"/>
      <c r="C26" s="30"/>
      <c r="D26" s="30"/>
      <c r="E26" s="30"/>
      <c r="F26" s="60"/>
      <c r="G26" s="60"/>
      <c r="H26" s="60"/>
      <c r="I26" s="48"/>
      <c r="J26" s="27"/>
      <c r="O26" s="29"/>
      <c r="P26" s="29"/>
      <c r="Q26" s="29"/>
      <c r="R26" s="29"/>
    </row>
    <row r="27" spans="2:18" s="28" customFormat="1" ht="20.100000000000001" customHeight="1">
      <c r="B27" s="30"/>
      <c r="C27" s="30"/>
      <c r="D27" s="30"/>
      <c r="E27" s="30"/>
      <c r="F27" s="60"/>
      <c r="G27" s="60"/>
      <c r="H27" s="60"/>
      <c r="I27" s="48"/>
      <c r="J27" s="27"/>
      <c r="O27" s="29"/>
      <c r="P27" s="29"/>
      <c r="Q27" s="29"/>
      <c r="R27" s="29"/>
    </row>
    <row r="28" spans="2:18" s="32" customFormat="1" ht="16.5" customHeight="1">
      <c r="B28" s="31" t="s">
        <v>36</v>
      </c>
      <c r="C28" s="31"/>
      <c r="D28" s="31"/>
      <c r="E28" s="3"/>
      <c r="I28" s="33"/>
      <c r="O28" s="34"/>
      <c r="P28" s="34"/>
      <c r="Q28" s="34"/>
      <c r="R28" s="34"/>
    </row>
    <row r="29" spans="2:18" s="35" customFormat="1" ht="15.75" customHeight="1">
      <c r="B29" s="35" t="s">
        <v>37</v>
      </c>
      <c r="C29" s="36"/>
      <c r="I29" s="37"/>
    </row>
    <row r="30" spans="2:18" s="32" customFormat="1" ht="15" customHeight="1">
      <c r="B30" s="31" t="s">
        <v>38</v>
      </c>
      <c r="C30" s="31"/>
      <c r="D30" s="31"/>
      <c r="E30" s="3"/>
      <c r="I30" s="33"/>
    </row>
    <row r="31" spans="2:18" s="38" customFormat="1" ht="13.5" customHeight="1">
      <c r="B31" s="38" t="s">
        <v>39</v>
      </c>
      <c r="C31" s="39"/>
      <c r="I31" s="40"/>
    </row>
    <row r="32" spans="2:18" s="38" customFormat="1" ht="13.5" customHeight="1">
      <c r="B32" s="38" t="s">
        <v>40</v>
      </c>
      <c r="C32" s="39"/>
      <c r="D32" s="41"/>
      <c r="I32" s="40"/>
    </row>
    <row r="33" spans="2:9" s="38" customFormat="1" ht="13.5" customHeight="1">
      <c r="B33" s="38" t="s">
        <v>41</v>
      </c>
      <c r="C33" s="39"/>
      <c r="I33" s="40"/>
    </row>
    <row r="34" spans="2:9" s="38" customFormat="1" ht="13.5" customHeight="1">
      <c r="B34" s="38" t="s">
        <v>42</v>
      </c>
      <c r="C34" s="39"/>
      <c r="I34" s="40"/>
    </row>
    <row r="35" spans="2:9" s="38" customFormat="1" ht="13.5" customHeight="1">
      <c r="B35" s="38" t="s">
        <v>43</v>
      </c>
      <c r="C35" s="39"/>
      <c r="I35" s="40"/>
    </row>
    <row r="36" spans="2:9" ht="16.5" customHeight="1">
      <c r="C36" s="8" t="s">
        <v>44</v>
      </c>
      <c r="G36" s="8" t="s">
        <v>45</v>
      </c>
    </row>
    <row r="37" spans="2:9" ht="18" customHeight="1">
      <c r="C37" s="42"/>
      <c r="E37" s="42"/>
      <c r="G37" s="55" t="s">
        <v>5</v>
      </c>
      <c r="H37" s="55"/>
    </row>
    <row r="38" spans="2:9" ht="19.5" customHeight="1">
      <c r="C38" s="43" t="str">
        <f>F10</f>
        <v>Comercial TSA ltda</v>
      </c>
      <c r="D38" s="9"/>
      <c r="E38" s="9"/>
      <c r="F38" s="9"/>
      <c r="G38" s="9" t="str">
        <f>F3</f>
        <v>SHENZHEN AMB TECHNOLOGY CO.,LTD.</v>
      </c>
    </row>
    <row r="40" spans="2:9" ht="20.100000000000001" customHeight="1">
      <c r="H40" s="44"/>
    </row>
  </sheetData>
  <mergeCells count="7">
    <mergeCell ref="G37:H37"/>
    <mergeCell ref="B1:E1"/>
    <mergeCell ref="F1:I1"/>
    <mergeCell ref="B2:I2"/>
    <mergeCell ref="E5:I5"/>
    <mergeCell ref="F26:H26"/>
    <mergeCell ref="F27:H27"/>
  </mergeCells>
  <printOptions horizontalCentered="1"/>
  <pageMargins left="0.39370078740157483" right="0.19684930008748908" top="0" bottom="0" header="0" footer="0"/>
  <pageSetup paperSize="9" scale="81" fitToHeight="0" orientation="portrait" horizontalDpi="1200" verticalDpi="1200" r:id="rId1"/>
  <headerFooter alignWithMargins="0">
    <oddFooter>&amp;L&amp;"Calibri"&amp;9www.szamb.com&amp;R&amp;"Calibri"&amp;9Page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UARDARszAMBLED">
                <anchor moveWithCells="1">
                  <from>
                    <xdr:col>9</xdr:col>
                    <xdr:colOff>133350</xdr:colOff>
                    <xdr:row>0</xdr:row>
                    <xdr:rowOff>200025</xdr:rowOff>
                  </from>
                  <to>
                    <xdr:col>10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8</vt:i4>
      </vt:variant>
    </vt:vector>
  </HeadingPairs>
  <TitlesOfParts>
    <vt:vector size="12" baseType="lpstr">
      <vt:lpstr>Quoting Request</vt:lpstr>
      <vt:lpstr>Quoting Request Ts</vt:lpstr>
      <vt:lpstr>Quoting Request Tube</vt:lpstr>
      <vt:lpstr>Quoting Request 2 Tube</vt:lpstr>
      <vt:lpstr>'Quoting Request'!Área_de_impresión</vt:lpstr>
      <vt:lpstr>'Quoting Request 2 Tube'!Área_de_impresión</vt:lpstr>
      <vt:lpstr>'Quoting Request Ts'!Área_de_impresión</vt:lpstr>
      <vt:lpstr>'Quoting Request Tube'!Área_de_impresión</vt:lpstr>
      <vt:lpstr>'Quoting Request'!Títulos_a_imprimir</vt:lpstr>
      <vt:lpstr>'Quoting Request 2 Tube'!Títulos_a_imprimir</vt:lpstr>
      <vt:lpstr>'Quoting Request Ts'!Títulos_a_imprimir</vt:lpstr>
      <vt:lpstr>'Quoting Request Tube'!Títulos_a_imprimir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Tulio Gonzalez</dc:creator>
  <cp:lastModifiedBy>Tulio Gonzalez Machado</cp:lastModifiedBy>
  <cp:lastPrinted>2023-03-13T13:20:24Z</cp:lastPrinted>
  <dcterms:created xsi:type="dcterms:W3CDTF">2023-03-13T13:17:32Z</dcterms:created>
  <dcterms:modified xsi:type="dcterms:W3CDTF">2024-01-26T17:52:51Z</dcterms:modified>
</cp:coreProperties>
</file>